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t\Projects\esp32-temp-humidity-gas-sensor\dev\"/>
    </mc:Choice>
  </mc:AlternateContent>
  <xr:revisionPtr revIDLastSave="0" documentId="13_ncr:1_{BCD0B6BE-81F5-4627-8ED3-691850389843}" xr6:coauthVersionLast="47" xr6:coauthVersionMax="47" xr10:uidLastSave="{00000000-0000-0000-0000-000000000000}"/>
  <bookViews>
    <workbookView xWindow="-108" yWindow="-108" windowWidth="23256" windowHeight="12456" xr2:uid="{5C5574AC-722E-4C0F-A9B9-7BAA6005D66E}"/>
  </bookViews>
  <sheets>
    <sheet name="Analog to Percentage" sheetId="1" r:id="rId1"/>
    <sheet name="analog_to_percentage" sheetId="4" r:id="rId2"/>
  </sheets>
  <definedNames>
    <definedName name="ExternalData_1" localSheetId="1" hidden="1">analog_to_percentage!$A$1:$B$102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1" l="1"/>
  <c r="H4" i="1"/>
  <c r="D70" i="1" s="1"/>
  <c r="H5" i="1"/>
  <c r="C62" i="1"/>
  <c r="D62" i="1"/>
  <c r="C63" i="1"/>
  <c r="D63" i="1"/>
  <c r="C64" i="1"/>
  <c r="D64" i="1"/>
  <c r="E64" i="1"/>
  <c r="F64" i="1"/>
  <c r="C65" i="1"/>
  <c r="C66" i="1"/>
  <c r="D66" i="1"/>
  <c r="C67" i="1"/>
  <c r="D67" i="1"/>
  <c r="E67" i="1" s="1"/>
  <c r="F67" i="1" s="1"/>
  <c r="C68" i="1"/>
  <c r="D68" i="1"/>
  <c r="E68" i="1" s="1"/>
  <c r="F68" i="1" s="1"/>
  <c r="C69" i="1"/>
  <c r="D69" i="1"/>
  <c r="E69" i="1"/>
  <c r="F69" i="1" s="1"/>
  <c r="C70" i="1"/>
  <c r="C71" i="1"/>
  <c r="D71" i="1"/>
  <c r="E71" i="1" s="1"/>
  <c r="F71" i="1" s="1"/>
  <c r="C72" i="1"/>
  <c r="D72" i="1"/>
  <c r="E72" i="1" s="1"/>
  <c r="F72" i="1" s="1"/>
  <c r="C73" i="1"/>
  <c r="D73" i="1"/>
  <c r="E73" i="1" s="1"/>
  <c r="F73" i="1" s="1"/>
  <c r="C74" i="1"/>
  <c r="D74" i="1"/>
  <c r="C75" i="1"/>
  <c r="D75" i="1"/>
  <c r="E75" i="1" s="1"/>
  <c r="F75" i="1" s="1"/>
  <c r="C76" i="1"/>
  <c r="D76" i="1"/>
  <c r="E76" i="1" s="1"/>
  <c r="F76" i="1" s="1"/>
  <c r="C77" i="1"/>
  <c r="D77" i="1"/>
  <c r="C78" i="1"/>
  <c r="D78" i="1"/>
  <c r="C79" i="1"/>
  <c r="D79" i="1"/>
  <c r="E79" i="1" s="1"/>
  <c r="F79" i="1" s="1"/>
  <c r="C80" i="1"/>
  <c r="D80" i="1"/>
  <c r="E80" i="1" s="1"/>
  <c r="F80" i="1" s="1"/>
  <c r="C81" i="1"/>
  <c r="D81" i="1"/>
  <c r="C82" i="1"/>
  <c r="D82" i="1"/>
  <c r="E82" i="1" s="1"/>
  <c r="F82" i="1" s="1"/>
  <c r="C83" i="1"/>
  <c r="D83" i="1"/>
  <c r="E83" i="1" s="1"/>
  <c r="F83" i="1" s="1"/>
  <c r="C84" i="1"/>
  <c r="D84" i="1"/>
  <c r="E84" i="1"/>
  <c r="F84" i="1" s="1"/>
  <c r="C85" i="1"/>
  <c r="D85" i="1"/>
  <c r="C86" i="1"/>
  <c r="D86" i="1"/>
  <c r="E86" i="1" s="1"/>
  <c r="F86" i="1" s="1"/>
  <c r="D87" i="1"/>
  <c r="E87" i="1" s="1"/>
  <c r="F87" i="1" s="1"/>
  <c r="C88" i="1"/>
  <c r="D88" i="1"/>
  <c r="C89" i="1"/>
  <c r="D89" i="1"/>
  <c r="C90" i="1"/>
  <c r="D90" i="1"/>
  <c r="E90" i="1" s="1"/>
  <c r="F90" i="1" s="1"/>
  <c r="C91" i="1"/>
  <c r="D91" i="1"/>
  <c r="E91" i="1"/>
  <c r="F91" i="1" s="1"/>
  <c r="C92" i="1"/>
  <c r="D92" i="1"/>
  <c r="C93" i="1"/>
  <c r="D93" i="1"/>
  <c r="C94" i="1"/>
  <c r="D94" i="1"/>
  <c r="E94" i="1" s="1"/>
  <c r="F94" i="1" s="1"/>
  <c r="C95" i="1"/>
  <c r="D95" i="1"/>
  <c r="E95" i="1" s="1"/>
  <c r="F95" i="1" s="1"/>
  <c r="C96" i="1"/>
  <c r="D96" i="1"/>
  <c r="C97" i="1"/>
  <c r="D97" i="1"/>
  <c r="E97" i="1" s="1"/>
  <c r="F97" i="1" s="1"/>
  <c r="C98" i="1"/>
  <c r="D98" i="1"/>
  <c r="E98" i="1" s="1"/>
  <c r="F98" i="1" s="1"/>
  <c r="C99" i="1"/>
  <c r="D99" i="1"/>
  <c r="C100" i="1"/>
  <c r="D100" i="1"/>
  <c r="C101" i="1"/>
  <c r="D101" i="1"/>
  <c r="E101" i="1" s="1"/>
  <c r="F101" i="1" s="1"/>
  <c r="C102" i="1"/>
  <c r="D102" i="1"/>
  <c r="E102" i="1"/>
  <c r="F102" i="1" s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C11" i="1" s="1"/>
  <c r="B11" i="1"/>
  <c r="A12" i="1"/>
  <c r="B12" i="1"/>
  <c r="A13" i="1"/>
  <c r="B13" i="1"/>
  <c r="A14" i="1"/>
  <c r="C14" i="1" s="1"/>
  <c r="B14" i="1"/>
  <c r="A15" i="1"/>
  <c r="B15" i="1"/>
  <c r="A16" i="1"/>
  <c r="B16" i="1"/>
  <c r="A17" i="1"/>
  <c r="B17" i="1"/>
  <c r="A18" i="1"/>
  <c r="B18" i="1"/>
  <c r="A19" i="1"/>
  <c r="B19" i="1"/>
  <c r="A20" i="1"/>
  <c r="C21" i="1" s="1"/>
  <c r="B20" i="1"/>
  <c r="A21" i="1"/>
  <c r="B21" i="1"/>
  <c r="A22" i="1"/>
  <c r="B22" i="1"/>
  <c r="A23" i="1"/>
  <c r="B23" i="1"/>
  <c r="A24" i="1"/>
  <c r="B24" i="1"/>
  <c r="A25" i="1"/>
  <c r="C25" i="1" s="1"/>
  <c r="B25" i="1"/>
  <c r="A26" i="1"/>
  <c r="C26" i="1" s="1"/>
  <c r="B26" i="1"/>
  <c r="A27" i="1"/>
  <c r="B27" i="1"/>
  <c r="A28" i="1"/>
  <c r="B28" i="1"/>
  <c r="A29" i="1"/>
  <c r="B29" i="1"/>
  <c r="A30" i="1"/>
  <c r="B30" i="1"/>
  <c r="A31" i="1"/>
  <c r="B31" i="1"/>
  <c r="A32" i="1"/>
  <c r="C32" i="1" s="1"/>
  <c r="B32" i="1"/>
  <c r="A33" i="1"/>
  <c r="B33" i="1"/>
  <c r="A34" i="1"/>
  <c r="B34" i="1"/>
  <c r="A35" i="1"/>
  <c r="B35" i="1"/>
  <c r="A36" i="1"/>
  <c r="B36" i="1"/>
  <c r="A37" i="1"/>
  <c r="C37" i="1" s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C45" i="1" s="1"/>
  <c r="B44" i="1"/>
  <c r="A45" i="1"/>
  <c r="B45" i="1"/>
  <c r="A46" i="1"/>
  <c r="B46" i="1"/>
  <c r="A47" i="1"/>
  <c r="C47" i="1" s="1"/>
  <c r="B47" i="1"/>
  <c r="A48" i="1"/>
  <c r="C48" i="1" s="1"/>
  <c r="B48" i="1"/>
  <c r="A49" i="1"/>
  <c r="C49" i="1" s="1"/>
  <c r="B49" i="1"/>
  <c r="A50" i="1"/>
  <c r="C50" i="1" s="1"/>
  <c r="B50" i="1"/>
  <c r="A51" i="1"/>
  <c r="B51" i="1"/>
  <c r="A52" i="1"/>
  <c r="B52" i="1"/>
  <c r="A53" i="1"/>
  <c r="B53" i="1"/>
  <c r="A54" i="1"/>
  <c r="B54" i="1"/>
  <c r="A55" i="1"/>
  <c r="B55" i="1"/>
  <c r="A56" i="1"/>
  <c r="C56" i="1" s="1"/>
  <c r="B56" i="1"/>
  <c r="A57" i="1"/>
  <c r="B57" i="1"/>
  <c r="A58" i="1"/>
  <c r="B58" i="1"/>
  <c r="A59" i="1"/>
  <c r="B59" i="1"/>
  <c r="A60" i="1"/>
  <c r="C60" i="1" s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B2" i="1"/>
  <c r="A2" i="1"/>
  <c r="C3" i="1" s="1"/>
  <c r="C4" i="1"/>
  <c r="C8" i="1"/>
  <c r="C10" i="1"/>
  <c r="C16" i="1"/>
  <c r="C22" i="1"/>
  <c r="C23" i="1"/>
  <c r="C28" i="1"/>
  <c r="C35" i="1"/>
  <c r="C38" i="1"/>
  <c r="C52" i="1"/>
  <c r="C58" i="1"/>
  <c r="C59" i="1"/>
  <c r="C61" i="1"/>
  <c r="C12" i="1"/>
  <c r="C13" i="1"/>
  <c r="C34" i="1"/>
  <c r="C40" i="1"/>
  <c r="C46" i="1"/>
  <c r="D65" i="1" l="1"/>
  <c r="E65" i="1" s="1"/>
  <c r="F65" i="1" s="1"/>
  <c r="E100" i="1"/>
  <c r="F100" i="1" s="1"/>
  <c r="E93" i="1"/>
  <c r="F93" i="1" s="1"/>
  <c r="E78" i="1"/>
  <c r="F78" i="1" s="1"/>
  <c r="E63" i="1"/>
  <c r="F63" i="1" s="1"/>
  <c r="E89" i="1"/>
  <c r="F89" i="1" s="1"/>
  <c r="E74" i="1"/>
  <c r="F74" i="1" s="1"/>
  <c r="E96" i="1"/>
  <c r="F96" i="1" s="1"/>
  <c r="E85" i="1"/>
  <c r="F85" i="1" s="1"/>
  <c r="E81" i="1"/>
  <c r="F81" i="1" s="1"/>
  <c r="E70" i="1"/>
  <c r="F70" i="1" s="1"/>
  <c r="E66" i="1"/>
  <c r="F66" i="1" s="1"/>
  <c r="E92" i="1"/>
  <c r="F92" i="1" s="1"/>
  <c r="E77" i="1"/>
  <c r="F77" i="1" s="1"/>
  <c r="E62" i="1"/>
  <c r="F62" i="1" s="1"/>
  <c r="E99" i="1"/>
  <c r="F99" i="1" s="1"/>
  <c r="E88" i="1"/>
  <c r="F88" i="1" s="1"/>
  <c r="C55" i="1"/>
  <c r="C43" i="1"/>
  <c r="C31" i="1"/>
  <c r="C19" i="1"/>
  <c r="C7" i="1"/>
  <c r="C24" i="1"/>
  <c r="C54" i="1"/>
  <c r="C42" i="1"/>
  <c r="C30" i="1"/>
  <c r="C18" i="1"/>
  <c r="C6" i="1"/>
  <c r="C53" i="1"/>
  <c r="C41" i="1"/>
  <c r="C29" i="1"/>
  <c r="C17" i="1"/>
  <c r="C5" i="1"/>
  <c r="C36" i="1"/>
  <c r="C57" i="1"/>
  <c r="C9" i="1"/>
  <c r="C20" i="1"/>
  <c r="C33" i="1"/>
  <c r="C44" i="1"/>
  <c r="C51" i="1"/>
  <c r="C39" i="1"/>
  <c r="C27" i="1"/>
  <c r="C15" i="1"/>
  <c r="D30" i="1" l="1"/>
  <c r="J5" i="1"/>
  <c r="D57" i="1"/>
  <c r="E57" i="1" s="1"/>
  <c r="F57" i="1" s="1"/>
  <c r="D27" i="1"/>
  <c r="D22" i="1"/>
  <c r="D50" i="1"/>
  <c r="D58" i="1"/>
  <c r="D31" i="1"/>
  <c r="D7" i="1"/>
  <c r="D43" i="1"/>
  <c r="D42" i="1"/>
  <c r="D18" i="1"/>
  <c r="D24" i="1"/>
  <c r="D23" i="1"/>
  <c r="D17" i="1"/>
  <c r="D10" i="1"/>
  <c r="D4" i="1"/>
  <c r="E4" i="1" s="1"/>
  <c r="F4" i="1" s="1"/>
  <c r="D21" i="1"/>
  <c r="D20" i="1"/>
  <c r="D35" i="1"/>
  <c r="D56" i="1"/>
  <c r="D55" i="1"/>
  <c r="D60" i="1"/>
  <c r="D54" i="1"/>
  <c r="D13" i="1"/>
  <c r="D16" i="1"/>
  <c r="D29" i="1"/>
  <c r="D19" i="1"/>
  <c r="D49" i="1"/>
  <c r="D32" i="1"/>
  <c r="D6" i="1"/>
  <c r="D8" i="1"/>
  <c r="D3" i="1"/>
  <c r="D2" i="1"/>
  <c r="D28" i="1"/>
  <c r="D36" i="1"/>
  <c r="D47" i="1"/>
  <c r="D5" i="1"/>
  <c r="D46" i="1"/>
  <c r="D12" i="1"/>
  <c r="D38" i="1"/>
  <c r="D9" i="1"/>
  <c r="D48" i="1"/>
  <c r="D37" i="1"/>
  <c r="D44" i="1"/>
  <c r="D45" i="1"/>
  <c r="D59" i="1"/>
  <c r="D11" i="1"/>
  <c r="D51" i="1"/>
  <c r="D34" i="1"/>
  <c r="D33" i="1"/>
  <c r="D39" i="1"/>
  <c r="D25" i="1"/>
  <c r="D53" i="1"/>
  <c r="D52" i="1"/>
  <c r="D26" i="1"/>
  <c r="D61" i="1"/>
  <c r="D41" i="1"/>
  <c r="D40" i="1"/>
  <c r="D14" i="1"/>
  <c r="D15" i="1"/>
  <c r="E21" i="1" l="1"/>
  <c r="F21" i="1" s="1"/>
  <c r="E36" i="1"/>
  <c r="F36" i="1" s="1"/>
  <c r="E18" i="1"/>
  <c r="F18" i="1" s="1"/>
  <c r="E28" i="1"/>
  <c r="F28" i="1" s="1"/>
  <c r="E42" i="1"/>
  <c r="F42" i="1" s="1"/>
  <c r="E2" i="1"/>
  <c r="F2" i="1" s="1"/>
  <c r="E61" i="1"/>
  <c r="F61" i="1" s="1"/>
  <c r="E56" i="1"/>
  <c r="F56" i="1" s="1"/>
  <c r="E37" i="1"/>
  <c r="F37" i="1" s="1"/>
  <c r="E52" i="1"/>
  <c r="F52" i="1" s="1"/>
  <c r="E20" i="1"/>
  <c r="F20" i="1" s="1"/>
  <c r="E9" i="1"/>
  <c r="F9" i="1" s="1"/>
  <c r="E14" i="1"/>
  <c r="F14" i="1" s="1"/>
  <c r="E54" i="1"/>
  <c r="F54" i="1" s="1"/>
  <c r="E40" i="1"/>
  <c r="F40" i="1" s="1"/>
  <c r="E41" i="1"/>
  <c r="F41" i="1" s="1"/>
  <c r="E43" i="1"/>
  <c r="F43" i="1" s="1"/>
  <c r="E3" i="1"/>
  <c r="F3" i="1" s="1"/>
  <c r="E26" i="1"/>
  <c r="F26" i="1" s="1"/>
  <c r="E35" i="1"/>
  <c r="F35" i="1" s="1"/>
  <c r="E6" i="1"/>
  <c r="F6" i="1" s="1"/>
  <c r="E53" i="1"/>
  <c r="F53" i="1" s="1"/>
  <c r="E32" i="1"/>
  <c r="F32" i="1" s="1"/>
  <c r="E25" i="1"/>
  <c r="F25" i="1" s="1"/>
  <c r="E11" i="1"/>
  <c r="F11" i="1" s="1"/>
  <c r="E59" i="1"/>
  <c r="F59" i="1" s="1"/>
  <c r="E60" i="1"/>
  <c r="F60" i="1" s="1"/>
  <c r="E45" i="1"/>
  <c r="F45" i="1" s="1"/>
  <c r="E55" i="1"/>
  <c r="F55" i="1" s="1"/>
  <c r="E44" i="1"/>
  <c r="F44" i="1" s="1"/>
  <c r="E7" i="1"/>
  <c r="F7" i="1" s="1"/>
  <c r="E8" i="1"/>
  <c r="F8" i="1" s="1"/>
  <c r="E31" i="1"/>
  <c r="F31" i="1" s="1"/>
  <c r="E48" i="1"/>
  <c r="F48" i="1" s="1"/>
  <c r="E58" i="1"/>
  <c r="F58" i="1" s="1"/>
  <c r="E50" i="1"/>
  <c r="F50" i="1" s="1"/>
  <c r="E38" i="1"/>
  <c r="F38" i="1" s="1"/>
  <c r="E49" i="1"/>
  <c r="F49" i="1" s="1"/>
  <c r="E22" i="1"/>
  <c r="F22" i="1" s="1"/>
  <c r="E39" i="1"/>
  <c r="F39" i="1" s="1"/>
  <c r="E12" i="1"/>
  <c r="F12" i="1" s="1"/>
  <c r="E19" i="1"/>
  <c r="F19" i="1" s="1"/>
  <c r="E10" i="1"/>
  <c r="F10" i="1" s="1"/>
  <c r="E27" i="1"/>
  <c r="F27" i="1" s="1"/>
  <c r="E33" i="1"/>
  <c r="F33" i="1" s="1"/>
  <c r="E46" i="1"/>
  <c r="F46" i="1" s="1"/>
  <c r="E29" i="1"/>
  <c r="F29" i="1" s="1"/>
  <c r="E17" i="1"/>
  <c r="F17" i="1" s="1"/>
  <c r="E34" i="1"/>
  <c r="F34" i="1" s="1"/>
  <c r="E5" i="1"/>
  <c r="F5" i="1" s="1"/>
  <c r="E16" i="1"/>
  <c r="F16" i="1" s="1"/>
  <c r="E23" i="1"/>
  <c r="F23" i="1" s="1"/>
  <c r="E15" i="1"/>
  <c r="F15" i="1" s="1"/>
  <c r="E51" i="1"/>
  <c r="F51" i="1" s="1"/>
  <c r="E47" i="1"/>
  <c r="F47" i="1" s="1"/>
  <c r="E13" i="1"/>
  <c r="F13" i="1" s="1"/>
  <c r="E24" i="1"/>
  <c r="F24" i="1" s="1"/>
  <c r="E30" i="1"/>
  <c r="F30" i="1" s="1"/>
  <c r="H8" i="1" l="1"/>
  <c r="H7" i="1"/>
  <c r="H11" i="1" l="1"/>
  <c r="H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55E621-CDAD-411C-BCE6-AAC10DE75DD7}" keepAlive="1" name="Query - analog_to_percentage" description="Connection to the 'analog_to_percentage' query in the workbook." type="5" refreshedVersion="8" background="1" saveData="1">
    <dbPr connection="Provider=Microsoft.Mashup.OleDb.1;Data Source=$Workbook$;Location=analog_to_percentage;Extended Properties=&quot;&quot;" command="SELECT * FROM [analog_to_percentage]"/>
  </connection>
</connections>
</file>

<file path=xl/sharedStrings.xml><?xml version="1.0" encoding="utf-8"?>
<sst xmlns="http://schemas.openxmlformats.org/spreadsheetml/2006/main" count="19" uniqueCount="19">
  <si>
    <t>Correct</t>
  </si>
  <si>
    <t>Analysis</t>
  </si>
  <si>
    <t>Rate of Change</t>
  </si>
  <si>
    <t>Average Rate of Change</t>
  </si>
  <si>
    <t>Correct Count</t>
  </si>
  <si>
    <t>Incorrect Count</t>
  </si>
  <si>
    <t>Inputs:</t>
  </si>
  <si>
    <t xml:space="preserve"> analogRead, increment</t>
  </si>
  <si>
    <t>Quotient</t>
  </si>
  <si>
    <t>Increment</t>
  </si>
  <si>
    <t>Scale</t>
  </si>
  <si>
    <t>Analog</t>
  </si>
  <si>
    <t>Correct Percentage</t>
  </si>
  <si>
    <t>Incorrect Percentage</t>
  </si>
  <si>
    <t>Analog Read</t>
  </si>
  <si>
    <t>Expected Output</t>
  </si>
  <si>
    <t>Percentage</t>
  </si>
  <si>
    <t>Rounded (0, 1)</t>
  </si>
  <si>
    <t>Formula for Analog Read to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</si>
</sst>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12</xdr:col>
      <xdr:colOff>99060</xdr:colOff>
      <xdr:row>7</xdr:row>
      <xdr:rowOff>175260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CE29D8-57D6-4DA0-BD7B-6411A641C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1089660"/>
          <a:ext cx="192786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10</xdr:col>
      <xdr:colOff>548640</xdr:colOff>
      <xdr:row>10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5B57CC-D948-0CA4-5601-7CE336CCF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1638300"/>
          <a:ext cx="115824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15</xdr:col>
      <xdr:colOff>167640</xdr:colOff>
      <xdr:row>13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04A297A-4D7D-42CD-9B1B-61EB3F6C4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2186940"/>
          <a:ext cx="382524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A84290-BB4B-4AC6-AC42-D9BA166F6DF7}" autoFormatId="16" applyNumberFormats="0" applyBorderFormats="0" applyFontFormats="0" applyPatternFormats="0" applyAlignmentFormats="0" applyWidthHeightFormats="0">
  <queryTableRefresh nextId="3">
    <queryTableFields count="2">
      <queryTableField id="1" name="Analog" tableColumnId="1"/>
      <queryTableField id="2" name="Percentag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2DDA5-FDA0-41C0-97F1-74BFAE0A19B9}" name="analog_to_percentage" displayName="analog_to_percentage" ref="A1:B102" tableType="queryTable" totalsRowShown="0">
  <autoFilter ref="A1:B102" xr:uid="{4CF2DDA5-FDA0-41C0-97F1-74BFAE0A19B9}"/>
  <tableColumns count="2">
    <tableColumn id="1" xr3:uid="{C760E12C-648D-4CA1-960F-5398301A336B}" uniqueName="1" name="Analog" queryTableFieldId="1"/>
    <tableColumn id="2" xr3:uid="{42169C2C-BAF9-470D-8715-A3F678E46147}" uniqueName="2" name="Percentag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5471-26BD-4211-B0E9-908EF189B709}">
  <dimension ref="A1:P102"/>
  <sheetViews>
    <sheetView tabSelected="1" zoomScaleNormal="100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3.6640625" customWidth="1"/>
    <col min="2" max="2" width="17.44140625" customWidth="1"/>
    <col min="3" max="3" width="13.21875" style="4" customWidth="1"/>
    <col min="5" max="5" width="15.5546875" customWidth="1"/>
    <col min="6" max="6" width="8.88671875" style="4"/>
    <col min="7" max="7" width="20.6640625" customWidth="1"/>
    <col min="8" max="8" width="12.21875" style="4" customWidth="1"/>
    <col min="9" max="9" width="6.6640625" customWidth="1"/>
    <col min="16" max="16" width="8.88671875" style="4"/>
  </cols>
  <sheetData>
    <row r="1" spans="1:16" s="2" customFormat="1" ht="13.8" x14ac:dyDescent="0.3">
      <c r="A1" s="2" t="s">
        <v>14</v>
      </c>
      <c r="B1" s="2" t="s">
        <v>15</v>
      </c>
      <c r="C1" s="3" t="s">
        <v>2</v>
      </c>
      <c r="D1" s="2" t="s">
        <v>8</v>
      </c>
      <c r="E1" s="2" t="s">
        <v>17</v>
      </c>
      <c r="F1" s="3" t="s">
        <v>0</v>
      </c>
      <c r="G1" s="8" t="s">
        <v>1</v>
      </c>
      <c r="H1" s="9"/>
      <c r="I1" s="8" t="s">
        <v>18</v>
      </c>
      <c r="J1" s="10"/>
      <c r="K1" s="10"/>
      <c r="L1" s="10"/>
      <c r="M1" s="10"/>
      <c r="N1" s="10"/>
      <c r="O1" s="10"/>
      <c r="P1" s="9"/>
    </row>
    <row r="2" spans="1:16" x14ac:dyDescent="0.3">
      <c r="A2">
        <f>analog_to_percentage[[#This Row],[Analog]]</f>
        <v>0</v>
      </c>
      <c r="B2">
        <f>analog_to_percentage[[#This Row],[Percentage]]</f>
        <v>0</v>
      </c>
      <c r="D2">
        <f t="shared" ref="D2:D33" si="0">A2/$H$4</f>
        <v>0</v>
      </c>
      <c r="E2">
        <f t="shared" ref="E2:E33" si="1">FLOOR(D2,1)+ROUND($H$5*(D2-FLOOR(D2,1)),0)/$H$5</f>
        <v>0</v>
      </c>
      <c r="F2" s="4" t="b">
        <f t="shared" ref="F2:F33" si="2">$B2=E2</f>
        <v>1</v>
      </c>
      <c r="G2" t="s">
        <v>9</v>
      </c>
      <c r="H2" s="7">
        <v>1</v>
      </c>
    </row>
    <row r="3" spans="1:16" x14ac:dyDescent="0.3">
      <c r="A3">
        <f>analog_to_percentage[[#This Row],[Analog]]</f>
        <v>10</v>
      </c>
      <c r="B3">
        <f>analog_to_percentage[[#This Row],[Percentage]]</f>
        <v>1</v>
      </c>
      <c r="C3" s="4">
        <f t="shared" ref="C3:C34" si="3">(A3-A2)/(B3-B2)</f>
        <v>10</v>
      </c>
      <c r="D3">
        <f t="shared" si="0"/>
        <v>0.97751710654936452</v>
      </c>
      <c r="E3">
        <f t="shared" si="1"/>
        <v>1</v>
      </c>
      <c r="F3" s="4" t="b">
        <f t="shared" si="2"/>
        <v>1</v>
      </c>
      <c r="J3" s="1" t="s">
        <v>6</v>
      </c>
      <c r="K3" t="s">
        <v>7</v>
      </c>
    </row>
    <row r="4" spans="1:16" x14ac:dyDescent="0.3">
      <c r="A4">
        <f>analog_to_percentage[[#This Row],[Analog]]</f>
        <v>20</v>
      </c>
      <c r="B4">
        <f>analog_to_percentage[[#This Row],[Percentage]]</f>
        <v>2</v>
      </c>
      <c r="C4" s="4">
        <f t="shared" si="3"/>
        <v>10</v>
      </c>
      <c r="D4">
        <f t="shared" si="0"/>
        <v>1.955034213098729</v>
      </c>
      <c r="E4">
        <f t="shared" si="1"/>
        <v>2</v>
      </c>
      <c r="F4" s="4" t="b">
        <f>$B4=E4</f>
        <v>1</v>
      </c>
      <c r="G4" t="s">
        <v>3</v>
      </c>
      <c r="H4" s="4">
        <f>AVERAGE(C2:C102)</f>
        <v>10.23</v>
      </c>
    </row>
    <row r="5" spans="1:16" x14ac:dyDescent="0.3">
      <c r="A5">
        <f>analog_to_percentage[[#This Row],[Analog]]</f>
        <v>31</v>
      </c>
      <c r="B5">
        <f>analog_to_percentage[[#This Row],[Percentage]]</f>
        <v>3</v>
      </c>
      <c r="C5" s="4">
        <f t="shared" si="3"/>
        <v>11</v>
      </c>
      <c r="D5">
        <f t="shared" si="0"/>
        <v>3.0303030303030303</v>
      </c>
      <c r="E5">
        <f t="shared" si="1"/>
        <v>3</v>
      </c>
      <c r="F5" s="4" t="b">
        <f t="shared" si="2"/>
        <v>1</v>
      </c>
      <c r="G5" t="s">
        <v>10</v>
      </c>
      <c r="H5" s="4">
        <f>1/H2</f>
        <v>1</v>
      </c>
      <c r="J5" s="6" t="str">
        <f>"avgRateOfChange = "&amp;H4</f>
        <v>avgRateOfChange = 10.23</v>
      </c>
    </row>
    <row r="6" spans="1:16" x14ac:dyDescent="0.3">
      <c r="A6">
        <f>analog_to_percentage[[#This Row],[Analog]]</f>
        <v>41</v>
      </c>
      <c r="B6">
        <f>analog_to_percentage[[#This Row],[Percentage]]</f>
        <v>4</v>
      </c>
      <c r="C6" s="4">
        <f t="shared" si="3"/>
        <v>10</v>
      </c>
      <c r="D6">
        <f t="shared" si="0"/>
        <v>4.0078201368523949</v>
      </c>
      <c r="E6">
        <f t="shared" si="1"/>
        <v>4</v>
      </c>
      <c r="F6" s="4" t="b">
        <f t="shared" si="2"/>
        <v>1</v>
      </c>
    </row>
    <row r="7" spans="1:16" x14ac:dyDescent="0.3">
      <c r="A7">
        <f>analog_to_percentage[[#This Row],[Analog]]</f>
        <v>51</v>
      </c>
      <c r="B7">
        <f>analog_to_percentage[[#This Row],[Percentage]]</f>
        <v>5</v>
      </c>
      <c r="C7" s="4">
        <f t="shared" si="3"/>
        <v>10</v>
      </c>
      <c r="D7">
        <f t="shared" si="0"/>
        <v>4.9853372434017595</v>
      </c>
      <c r="E7">
        <f t="shared" si="1"/>
        <v>5</v>
      </c>
      <c r="F7" s="4" t="b">
        <f t="shared" si="2"/>
        <v>1</v>
      </c>
      <c r="G7" t="s">
        <v>4</v>
      </c>
      <c r="H7" s="4">
        <f>COUNTIF(F:F,TRUE)</f>
        <v>101</v>
      </c>
    </row>
    <row r="8" spans="1:16" x14ac:dyDescent="0.3">
      <c r="A8">
        <f>analog_to_percentage[[#This Row],[Analog]]</f>
        <v>61</v>
      </c>
      <c r="B8">
        <f>analog_to_percentage[[#This Row],[Percentage]]</f>
        <v>6</v>
      </c>
      <c r="C8" s="4">
        <f t="shared" si="3"/>
        <v>10</v>
      </c>
      <c r="D8">
        <f t="shared" si="0"/>
        <v>5.9628543499511242</v>
      </c>
      <c r="E8">
        <f t="shared" si="1"/>
        <v>6</v>
      </c>
      <c r="F8" s="4" t="b">
        <f t="shared" si="2"/>
        <v>1</v>
      </c>
      <c r="G8" t="s">
        <v>5</v>
      </c>
      <c r="H8" s="4">
        <f>COUNTIF(F:F,FALSE)</f>
        <v>0</v>
      </c>
    </row>
    <row r="9" spans="1:16" x14ac:dyDescent="0.3">
      <c r="A9">
        <f>analog_to_percentage[[#This Row],[Analog]]</f>
        <v>72</v>
      </c>
      <c r="B9">
        <f>analog_to_percentage[[#This Row],[Percentage]]</f>
        <v>7</v>
      </c>
      <c r="C9" s="4">
        <f t="shared" si="3"/>
        <v>11</v>
      </c>
      <c r="D9">
        <f t="shared" si="0"/>
        <v>7.0381231671554252</v>
      </c>
      <c r="E9">
        <f t="shared" si="1"/>
        <v>7</v>
      </c>
      <c r="F9" s="4" t="b">
        <f t="shared" si="2"/>
        <v>1</v>
      </c>
    </row>
    <row r="10" spans="1:16" x14ac:dyDescent="0.3">
      <c r="A10">
        <f>analog_to_percentage[[#This Row],[Analog]]</f>
        <v>82</v>
      </c>
      <c r="B10">
        <f>analog_to_percentage[[#This Row],[Percentage]]</f>
        <v>8</v>
      </c>
      <c r="C10" s="4">
        <f t="shared" si="3"/>
        <v>10</v>
      </c>
      <c r="D10">
        <f t="shared" si="0"/>
        <v>8.0156402737047898</v>
      </c>
      <c r="E10">
        <f t="shared" si="1"/>
        <v>8</v>
      </c>
      <c r="F10" s="4" t="b">
        <f t="shared" si="2"/>
        <v>1</v>
      </c>
      <c r="G10" t="s">
        <v>12</v>
      </c>
      <c r="H10" s="5" t="str">
        <f>ROUND(H7/(H7+H8)*100,2)&amp;"%"</f>
        <v>100%</v>
      </c>
    </row>
    <row r="11" spans="1:16" x14ac:dyDescent="0.3">
      <c r="A11">
        <f>analog_to_percentage[[#This Row],[Analog]]</f>
        <v>92</v>
      </c>
      <c r="B11">
        <f>analog_to_percentage[[#This Row],[Percentage]]</f>
        <v>9</v>
      </c>
      <c r="C11" s="4">
        <f t="shared" si="3"/>
        <v>10</v>
      </c>
      <c r="D11">
        <f t="shared" si="0"/>
        <v>8.9931573802541536</v>
      </c>
      <c r="E11">
        <f t="shared" si="1"/>
        <v>9</v>
      </c>
      <c r="F11" s="4" t="b">
        <f t="shared" si="2"/>
        <v>1</v>
      </c>
      <c r="G11" t="s">
        <v>13</v>
      </c>
      <c r="H11" s="5" t="str">
        <f>ROUND(100-H7/(H7+H8)*100,2)&amp;"%"</f>
        <v>0%</v>
      </c>
    </row>
    <row r="12" spans="1:16" x14ac:dyDescent="0.3">
      <c r="A12">
        <f>analog_to_percentage[[#This Row],[Analog]]</f>
        <v>102</v>
      </c>
      <c r="B12">
        <f>analog_to_percentage[[#This Row],[Percentage]]</f>
        <v>10</v>
      </c>
      <c r="C12" s="4">
        <f t="shared" si="3"/>
        <v>10</v>
      </c>
      <c r="D12">
        <f t="shared" si="0"/>
        <v>9.9706744868035191</v>
      </c>
      <c r="E12">
        <f t="shared" si="1"/>
        <v>10</v>
      </c>
      <c r="F12" s="4" t="b">
        <f t="shared" si="2"/>
        <v>1</v>
      </c>
    </row>
    <row r="13" spans="1:16" x14ac:dyDescent="0.3">
      <c r="A13">
        <f>analog_to_percentage[[#This Row],[Analog]]</f>
        <v>113</v>
      </c>
      <c r="B13">
        <f>analog_to_percentage[[#This Row],[Percentage]]</f>
        <v>11</v>
      </c>
      <c r="C13" s="4">
        <f t="shared" si="3"/>
        <v>11</v>
      </c>
      <c r="D13">
        <f t="shared" si="0"/>
        <v>11.045943304007819</v>
      </c>
      <c r="E13">
        <f t="shared" si="1"/>
        <v>11</v>
      </c>
      <c r="F13" s="4" t="b">
        <f t="shared" si="2"/>
        <v>1</v>
      </c>
    </row>
    <row r="14" spans="1:16" x14ac:dyDescent="0.3">
      <c r="A14">
        <f>analog_to_percentage[[#This Row],[Analog]]</f>
        <v>123</v>
      </c>
      <c r="B14">
        <f>analog_to_percentage[[#This Row],[Percentage]]</f>
        <v>12</v>
      </c>
      <c r="C14" s="4">
        <f t="shared" si="3"/>
        <v>10</v>
      </c>
      <c r="D14">
        <f t="shared" si="0"/>
        <v>12.023460410557185</v>
      </c>
      <c r="E14">
        <f t="shared" si="1"/>
        <v>12</v>
      </c>
      <c r="F14" s="4" t="b">
        <f t="shared" si="2"/>
        <v>1</v>
      </c>
    </row>
    <row r="15" spans="1:16" x14ac:dyDescent="0.3">
      <c r="A15">
        <f>analog_to_percentage[[#This Row],[Analog]]</f>
        <v>133</v>
      </c>
      <c r="B15">
        <f>analog_to_percentage[[#This Row],[Percentage]]</f>
        <v>13</v>
      </c>
      <c r="C15" s="4">
        <f t="shared" si="3"/>
        <v>10</v>
      </c>
      <c r="D15">
        <f t="shared" si="0"/>
        <v>13.000977517106548</v>
      </c>
      <c r="E15">
        <f t="shared" si="1"/>
        <v>13</v>
      </c>
      <c r="F15" s="4" t="b">
        <f t="shared" si="2"/>
        <v>1</v>
      </c>
    </row>
    <row r="16" spans="1:16" x14ac:dyDescent="0.3">
      <c r="A16">
        <f>analog_to_percentage[[#This Row],[Analog]]</f>
        <v>143</v>
      </c>
      <c r="B16">
        <f>analog_to_percentage[[#This Row],[Percentage]]</f>
        <v>14</v>
      </c>
      <c r="C16" s="4">
        <f t="shared" si="3"/>
        <v>10</v>
      </c>
      <c r="D16">
        <f t="shared" si="0"/>
        <v>13.978494623655914</v>
      </c>
      <c r="E16">
        <f t="shared" si="1"/>
        <v>14</v>
      </c>
      <c r="F16" s="4" t="b">
        <f t="shared" si="2"/>
        <v>1</v>
      </c>
    </row>
    <row r="17" spans="1:6" x14ac:dyDescent="0.3">
      <c r="A17">
        <f>analog_to_percentage[[#This Row],[Analog]]</f>
        <v>154</v>
      </c>
      <c r="B17">
        <f>analog_to_percentage[[#This Row],[Percentage]]</f>
        <v>15</v>
      </c>
      <c r="C17" s="4">
        <f t="shared" si="3"/>
        <v>11</v>
      </c>
      <c r="D17">
        <f t="shared" si="0"/>
        <v>15.053763440860214</v>
      </c>
      <c r="E17">
        <f t="shared" si="1"/>
        <v>15</v>
      </c>
      <c r="F17" s="4" t="b">
        <f t="shared" si="2"/>
        <v>1</v>
      </c>
    </row>
    <row r="18" spans="1:6" x14ac:dyDescent="0.3">
      <c r="A18">
        <f>analog_to_percentage[[#This Row],[Analog]]</f>
        <v>164</v>
      </c>
      <c r="B18">
        <f>analog_to_percentage[[#This Row],[Percentage]]</f>
        <v>16</v>
      </c>
      <c r="C18" s="4">
        <f t="shared" si="3"/>
        <v>10</v>
      </c>
      <c r="D18">
        <f t="shared" si="0"/>
        <v>16.03128054740958</v>
      </c>
      <c r="E18">
        <f t="shared" si="1"/>
        <v>16</v>
      </c>
      <c r="F18" s="4" t="b">
        <f t="shared" si="2"/>
        <v>1</v>
      </c>
    </row>
    <row r="19" spans="1:6" x14ac:dyDescent="0.3">
      <c r="A19">
        <f>analog_to_percentage[[#This Row],[Analog]]</f>
        <v>174</v>
      </c>
      <c r="B19">
        <f>analog_to_percentage[[#This Row],[Percentage]]</f>
        <v>17</v>
      </c>
      <c r="C19" s="4">
        <f t="shared" si="3"/>
        <v>10</v>
      </c>
      <c r="D19">
        <f t="shared" si="0"/>
        <v>17.008797653958943</v>
      </c>
      <c r="E19">
        <f t="shared" si="1"/>
        <v>17</v>
      </c>
      <c r="F19" s="4" t="b">
        <f t="shared" si="2"/>
        <v>1</v>
      </c>
    </row>
    <row r="20" spans="1:6" x14ac:dyDescent="0.3">
      <c r="A20">
        <f>analog_to_percentage[[#This Row],[Analog]]</f>
        <v>184</v>
      </c>
      <c r="B20">
        <f>analog_to_percentage[[#This Row],[Percentage]]</f>
        <v>18</v>
      </c>
      <c r="C20" s="4">
        <f t="shared" si="3"/>
        <v>10</v>
      </c>
      <c r="D20">
        <f t="shared" si="0"/>
        <v>17.986314760508307</v>
      </c>
      <c r="E20">
        <f t="shared" si="1"/>
        <v>18</v>
      </c>
      <c r="F20" s="4" t="b">
        <f t="shared" si="2"/>
        <v>1</v>
      </c>
    </row>
    <row r="21" spans="1:6" x14ac:dyDescent="0.3">
      <c r="A21">
        <f>analog_to_percentage[[#This Row],[Analog]]</f>
        <v>195</v>
      </c>
      <c r="B21">
        <f>analog_to_percentage[[#This Row],[Percentage]]</f>
        <v>19</v>
      </c>
      <c r="C21" s="4">
        <f t="shared" si="3"/>
        <v>11</v>
      </c>
      <c r="D21">
        <f t="shared" si="0"/>
        <v>19.061583577712611</v>
      </c>
      <c r="E21">
        <f t="shared" si="1"/>
        <v>19</v>
      </c>
      <c r="F21" s="4" t="b">
        <f t="shared" si="2"/>
        <v>1</v>
      </c>
    </row>
    <row r="22" spans="1:6" x14ac:dyDescent="0.3">
      <c r="A22">
        <f>analog_to_percentage[[#This Row],[Analog]]</f>
        <v>205</v>
      </c>
      <c r="B22">
        <f>analog_to_percentage[[#This Row],[Percentage]]</f>
        <v>20</v>
      </c>
      <c r="C22" s="4">
        <f t="shared" si="3"/>
        <v>10</v>
      </c>
      <c r="D22">
        <f t="shared" si="0"/>
        <v>20.039100684261975</v>
      </c>
      <c r="E22">
        <f t="shared" si="1"/>
        <v>20</v>
      </c>
      <c r="F22" s="4" t="b">
        <f t="shared" si="2"/>
        <v>1</v>
      </c>
    </row>
    <row r="23" spans="1:6" x14ac:dyDescent="0.3">
      <c r="A23">
        <f>analog_to_percentage[[#This Row],[Analog]]</f>
        <v>215</v>
      </c>
      <c r="B23">
        <f>analog_to_percentage[[#This Row],[Percentage]]</f>
        <v>21</v>
      </c>
      <c r="C23" s="4">
        <f t="shared" si="3"/>
        <v>10</v>
      </c>
      <c r="D23">
        <f t="shared" si="0"/>
        <v>21.016617790811338</v>
      </c>
      <c r="E23">
        <f t="shared" si="1"/>
        <v>21</v>
      </c>
      <c r="F23" s="4" t="b">
        <f t="shared" si="2"/>
        <v>1</v>
      </c>
    </row>
    <row r="24" spans="1:6" x14ac:dyDescent="0.3">
      <c r="A24">
        <f>analog_to_percentage[[#This Row],[Analog]]</f>
        <v>225</v>
      </c>
      <c r="B24">
        <f>analog_to_percentage[[#This Row],[Percentage]]</f>
        <v>22</v>
      </c>
      <c r="C24" s="4">
        <f t="shared" si="3"/>
        <v>10</v>
      </c>
      <c r="D24">
        <f t="shared" si="0"/>
        <v>21.994134897360702</v>
      </c>
      <c r="E24">
        <f t="shared" si="1"/>
        <v>22</v>
      </c>
      <c r="F24" s="4" t="b">
        <f t="shared" si="2"/>
        <v>1</v>
      </c>
    </row>
    <row r="25" spans="1:6" x14ac:dyDescent="0.3">
      <c r="A25">
        <f>analog_to_percentage[[#This Row],[Analog]]</f>
        <v>236</v>
      </c>
      <c r="B25">
        <f>analog_to_percentage[[#This Row],[Percentage]]</f>
        <v>23</v>
      </c>
      <c r="C25" s="4">
        <f t="shared" si="3"/>
        <v>11</v>
      </c>
      <c r="D25">
        <f t="shared" si="0"/>
        <v>23.069403714565002</v>
      </c>
      <c r="E25">
        <f t="shared" si="1"/>
        <v>23</v>
      </c>
      <c r="F25" s="4" t="b">
        <f t="shared" si="2"/>
        <v>1</v>
      </c>
    </row>
    <row r="26" spans="1:6" x14ac:dyDescent="0.3">
      <c r="A26">
        <f>analog_to_percentage[[#This Row],[Analog]]</f>
        <v>246</v>
      </c>
      <c r="B26">
        <f>analog_to_percentage[[#This Row],[Percentage]]</f>
        <v>24</v>
      </c>
      <c r="C26" s="4">
        <f t="shared" si="3"/>
        <v>10</v>
      </c>
      <c r="D26">
        <f t="shared" si="0"/>
        <v>24.046920821114369</v>
      </c>
      <c r="E26">
        <f t="shared" si="1"/>
        <v>24</v>
      </c>
      <c r="F26" s="4" t="b">
        <f t="shared" si="2"/>
        <v>1</v>
      </c>
    </row>
    <row r="27" spans="1:6" x14ac:dyDescent="0.3">
      <c r="A27">
        <f>analog_to_percentage[[#This Row],[Analog]]</f>
        <v>256</v>
      </c>
      <c r="B27">
        <f>analog_to_percentage[[#This Row],[Percentage]]</f>
        <v>25</v>
      </c>
      <c r="C27" s="4">
        <f t="shared" si="3"/>
        <v>10</v>
      </c>
      <c r="D27">
        <f t="shared" si="0"/>
        <v>25.024437927663733</v>
      </c>
      <c r="E27">
        <f t="shared" si="1"/>
        <v>25</v>
      </c>
      <c r="F27" s="4" t="b">
        <f t="shared" si="2"/>
        <v>1</v>
      </c>
    </row>
    <row r="28" spans="1:6" x14ac:dyDescent="0.3">
      <c r="A28">
        <f>analog_to_percentage[[#This Row],[Analog]]</f>
        <v>266</v>
      </c>
      <c r="B28">
        <f>analog_to_percentage[[#This Row],[Percentage]]</f>
        <v>26</v>
      </c>
      <c r="C28" s="4">
        <f t="shared" si="3"/>
        <v>10</v>
      </c>
      <c r="D28">
        <f t="shared" si="0"/>
        <v>26.001955034213097</v>
      </c>
      <c r="E28">
        <f t="shared" si="1"/>
        <v>26</v>
      </c>
      <c r="F28" s="4" t="b">
        <f t="shared" si="2"/>
        <v>1</v>
      </c>
    </row>
    <row r="29" spans="1:6" x14ac:dyDescent="0.3">
      <c r="A29">
        <f>analog_to_percentage[[#This Row],[Analog]]</f>
        <v>276</v>
      </c>
      <c r="B29">
        <f>analog_to_percentage[[#This Row],[Percentage]]</f>
        <v>27</v>
      </c>
      <c r="C29" s="4">
        <f t="shared" si="3"/>
        <v>10</v>
      </c>
      <c r="D29">
        <f t="shared" si="0"/>
        <v>26.979472140762461</v>
      </c>
      <c r="E29">
        <f t="shared" si="1"/>
        <v>27</v>
      </c>
      <c r="F29" s="4" t="b">
        <f t="shared" si="2"/>
        <v>1</v>
      </c>
    </row>
    <row r="30" spans="1:6" x14ac:dyDescent="0.3">
      <c r="A30">
        <f>analog_to_percentage[[#This Row],[Analog]]</f>
        <v>287</v>
      </c>
      <c r="B30">
        <f>analog_to_percentage[[#This Row],[Percentage]]</f>
        <v>28</v>
      </c>
      <c r="C30" s="4">
        <f t="shared" si="3"/>
        <v>11</v>
      </c>
      <c r="D30">
        <f t="shared" si="0"/>
        <v>28.054740957966764</v>
      </c>
      <c r="E30">
        <f t="shared" si="1"/>
        <v>28</v>
      </c>
      <c r="F30" s="4" t="b">
        <f t="shared" si="2"/>
        <v>1</v>
      </c>
    </row>
    <row r="31" spans="1:6" x14ac:dyDescent="0.3">
      <c r="A31">
        <f>analog_to_percentage[[#This Row],[Analog]]</f>
        <v>297</v>
      </c>
      <c r="B31">
        <f>analog_to_percentage[[#This Row],[Percentage]]</f>
        <v>29</v>
      </c>
      <c r="C31" s="4">
        <f t="shared" si="3"/>
        <v>10</v>
      </c>
      <c r="D31">
        <f t="shared" si="0"/>
        <v>29.032258064516128</v>
      </c>
      <c r="E31">
        <f t="shared" si="1"/>
        <v>29</v>
      </c>
      <c r="F31" s="4" t="b">
        <f t="shared" si="2"/>
        <v>1</v>
      </c>
    </row>
    <row r="32" spans="1:6" x14ac:dyDescent="0.3">
      <c r="A32">
        <f>analog_to_percentage[[#This Row],[Analog]]</f>
        <v>307</v>
      </c>
      <c r="B32">
        <f>analog_to_percentage[[#This Row],[Percentage]]</f>
        <v>30</v>
      </c>
      <c r="C32" s="4">
        <f t="shared" si="3"/>
        <v>10</v>
      </c>
      <c r="D32">
        <f t="shared" si="0"/>
        <v>30.009775171065492</v>
      </c>
      <c r="E32">
        <f t="shared" si="1"/>
        <v>30</v>
      </c>
      <c r="F32" s="4" t="b">
        <f t="shared" si="2"/>
        <v>1</v>
      </c>
    </row>
    <row r="33" spans="1:6" x14ac:dyDescent="0.3">
      <c r="A33">
        <f>analog_to_percentage[[#This Row],[Analog]]</f>
        <v>317</v>
      </c>
      <c r="B33">
        <f>analog_to_percentage[[#This Row],[Percentage]]</f>
        <v>31</v>
      </c>
      <c r="C33" s="4">
        <f t="shared" si="3"/>
        <v>10</v>
      </c>
      <c r="D33">
        <f t="shared" si="0"/>
        <v>30.987292277614856</v>
      </c>
      <c r="E33">
        <f t="shared" si="1"/>
        <v>31</v>
      </c>
      <c r="F33" s="4" t="b">
        <f t="shared" si="2"/>
        <v>1</v>
      </c>
    </row>
    <row r="34" spans="1:6" x14ac:dyDescent="0.3">
      <c r="A34">
        <f>analog_to_percentage[[#This Row],[Analog]]</f>
        <v>328</v>
      </c>
      <c r="B34">
        <f>analog_to_percentage[[#This Row],[Percentage]]</f>
        <v>32</v>
      </c>
      <c r="C34" s="4">
        <f t="shared" si="3"/>
        <v>11</v>
      </c>
      <c r="D34">
        <f t="shared" ref="D34:D61" si="4">A34/$H$4</f>
        <v>32.062561094819159</v>
      </c>
      <c r="E34">
        <f t="shared" ref="E34:E61" si="5">FLOOR(D34,1)+ROUND($H$5*(D34-FLOOR(D34,1)),0)/$H$5</f>
        <v>32</v>
      </c>
      <c r="F34" s="4" t="b">
        <f t="shared" ref="F34:F61" si="6">$B34=E34</f>
        <v>1</v>
      </c>
    </row>
    <row r="35" spans="1:6" x14ac:dyDescent="0.3">
      <c r="A35">
        <f>analog_to_percentage[[#This Row],[Analog]]</f>
        <v>338</v>
      </c>
      <c r="B35">
        <f>analog_to_percentage[[#This Row],[Percentage]]</f>
        <v>33</v>
      </c>
      <c r="C35" s="4">
        <f t="shared" ref="C35:C61" si="7">(A35-A34)/(B35-B34)</f>
        <v>10</v>
      </c>
      <c r="D35">
        <f t="shared" si="4"/>
        <v>33.040078201368523</v>
      </c>
      <c r="E35">
        <f t="shared" si="5"/>
        <v>33</v>
      </c>
      <c r="F35" s="4" t="b">
        <f t="shared" si="6"/>
        <v>1</v>
      </c>
    </row>
    <row r="36" spans="1:6" x14ac:dyDescent="0.3">
      <c r="A36">
        <f>analog_to_percentage[[#This Row],[Analog]]</f>
        <v>348</v>
      </c>
      <c r="B36">
        <f>analog_to_percentage[[#This Row],[Percentage]]</f>
        <v>34</v>
      </c>
      <c r="C36" s="4">
        <f t="shared" si="7"/>
        <v>10</v>
      </c>
      <c r="D36">
        <f t="shared" si="4"/>
        <v>34.017595307917887</v>
      </c>
      <c r="E36">
        <f t="shared" si="5"/>
        <v>34</v>
      </c>
      <c r="F36" s="4" t="b">
        <f t="shared" si="6"/>
        <v>1</v>
      </c>
    </row>
    <row r="37" spans="1:6" x14ac:dyDescent="0.3">
      <c r="A37">
        <f>analog_to_percentage[[#This Row],[Analog]]</f>
        <v>358</v>
      </c>
      <c r="B37">
        <f>analog_to_percentage[[#This Row],[Percentage]]</f>
        <v>35</v>
      </c>
      <c r="C37" s="4">
        <f t="shared" si="7"/>
        <v>10</v>
      </c>
      <c r="D37">
        <f t="shared" si="4"/>
        <v>34.995112414467251</v>
      </c>
      <c r="E37">
        <f t="shared" si="5"/>
        <v>35</v>
      </c>
      <c r="F37" s="4" t="b">
        <f t="shared" si="6"/>
        <v>1</v>
      </c>
    </row>
    <row r="38" spans="1:6" x14ac:dyDescent="0.3">
      <c r="A38">
        <f>analog_to_percentage[[#This Row],[Analog]]</f>
        <v>369</v>
      </c>
      <c r="B38">
        <f>analog_to_percentage[[#This Row],[Percentage]]</f>
        <v>36</v>
      </c>
      <c r="C38" s="4">
        <f t="shared" si="7"/>
        <v>11</v>
      </c>
      <c r="D38">
        <f t="shared" si="4"/>
        <v>36.070381231671554</v>
      </c>
      <c r="E38">
        <f t="shared" si="5"/>
        <v>36</v>
      </c>
      <c r="F38" s="4" t="b">
        <f t="shared" si="6"/>
        <v>1</v>
      </c>
    </row>
    <row r="39" spans="1:6" x14ac:dyDescent="0.3">
      <c r="A39">
        <f>analog_to_percentage[[#This Row],[Analog]]</f>
        <v>379</v>
      </c>
      <c r="B39">
        <f>analog_to_percentage[[#This Row],[Percentage]]</f>
        <v>37</v>
      </c>
      <c r="C39" s="4">
        <f t="shared" si="7"/>
        <v>10</v>
      </c>
      <c r="D39">
        <f t="shared" si="4"/>
        <v>37.047898338220918</v>
      </c>
      <c r="E39">
        <f t="shared" si="5"/>
        <v>37</v>
      </c>
      <c r="F39" s="4" t="b">
        <f t="shared" si="6"/>
        <v>1</v>
      </c>
    </row>
    <row r="40" spans="1:6" x14ac:dyDescent="0.3">
      <c r="A40">
        <f>analog_to_percentage[[#This Row],[Analog]]</f>
        <v>389</v>
      </c>
      <c r="B40">
        <f>analog_to_percentage[[#This Row],[Percentage]]</f>
        <v>38</v>
      </c>
      <c r="C40" s="4">
        <f t="shared" si="7"/>
        <v>10</v>
      </c>
      <c r="D40">
        <f t="shared" si="4"/>
        <v>38.025415444770282</v>
      </c>
      <c r="E40">
        <f t="shared" si="5"/>
        <v>38</v>
      </c>
      <c r="F40" s="4" t="b">
        <f t="shared" si="6"/>
        <v>1</v>
      </c>
    </row>
    <row r="41" spans="1:6" x14ac:dyDescent="0.3">
      <c r="A41">
        <f>analog_to_percentage[[#This Row],[Analog]]</f>
        <v>399</v>
      </c>
      <c r="B41">
        <f>analog_to_percentage[[#This Row],[Percentage]]</f>
        <v>39</v>
      </c>
      <c r="C41" s="4">
        <f t="shared" si="7"/>
        <v>10</v>
      </c>
      <c r="D41">
        <f t="shared" si="4"/>
        <v>39.002932551319645</v>
      </c>
      <c r="E41">
        <f t="shared" si="5"/>
        <v>39</v>
      </c>
      <c r="F41" s="4" t="b">
        <f t="shared" si="6"/>
        <v>1</v>
      </c>
    </row>
    <row r="42" spans="1:6" x14ac:dyDescent="0.3">
      <c r="A42">
        <f>analog_to_percentage[[#This Row],[Analog]]</f>
        <v>410</v>
      </c>
      <c r="B42">
        <f>analog_to_percentage[[#This Row],[Percentage]]</f>
        <v>40</v>
      </c>
      <c r="C42" s="4">
        <f t="shared" si="7"/>
        <v>11</v>
      </c>
      <c r="D42">
        <f t="shared" si="4"/>
        <v>40.078201368523949</v>
      </c>
      <c r="E42">
        <f t="shared" si="5"/>
        <v>40</v>
      </c>
      <c r="F42" s="4" t="b">
        <f t="shared" si="6"/>
        <v>1</v>
      </c>
    </row>
    <row r="43" spans="1:6" x14ac:dyDescent="0.3">
      <c r="A43">
        <f>analog_to_percentage[[#This Row],[Analog]]</f>
        <v>420</v>
      </c>
      <c r="B43">
        <f>analog_to_percentage[[#This Row],[Percentage]]</f>
        <v>41</v>
      </c>
      <c r="C43" s="4">
        <f t="shared" si="7"/>
        <v>10</v>
      </c>
      <c r="D43">
        <f t="shared" si="4"/>
        <v>41.055718475073313</v>
      </c>
      <c r="E43">
        <f t="shared" si="5"/>
        <v>41</v>
      </c>
      <c r="F43" s="4" t="b">
        <f t="shared" si="6"/>
        <v>1</v>
      </c>
    </row>
    <row r="44" spans="1:6" x14ac:dyDescent="0.3">
      <c r="A44">
        <f>analog_to_percentage[[#This Row],[Analog]]</f>
        <v>430</v>
      </c>
      <c r="B44">
        <f>analog_to_percentage[[#This Row],[Percentage]]</f>
        <v>42</v>
      </c>
      <c r="C44" s="4">
        <f t="shared" si="7"/>
        <v>10</v>
      </c>
      <c r="D44">
        <f t="shared" si="4"/>
        <v>42.033235581622677</v>
      </c>
      <c r="E44">
        <f t="shared" si="5"/>
        <v>42</v>
      </c>
      <c r="F44" s="4" t="b">
        <f t="shared" si="6"/>
        <v>1</v>
      </c>
    </row>
    <row r="45" spans="1:6" x14ac:dyDescent="0.3">
      <c r="A45">
        <f>analog_to_percentage[[#This Row],[Analog]]</f>
        <v>440</v>
      </c>
      <c r="B45">
        <f>analog_to_percentage[[#This Row],[Percentage]]</f>
        <v>43</v>
      </c>
      <c r="C45" s="4">
        <f t="shared" si="7"/>
        <v>10</v>
      </c>
      <c r="D45">
        <f t="shared" si="4"/>
        <v>43.01075268817204</v>
      </c>
      <c r="E45">
        <f t="shared" si="5"/>
        <v>43</v>
      </c>
      <c r="F45" s="4" t="b">
        <f t="shared" si="6"/>
        <v>1</v>
      </c>
    </row>
    <row r="46" spans="1:6" x14ac:dyDescent="0.3">
      <c r="A46">
        <f>analog_to_percentage[[#This Row],[Analog]]</f>
        <v>451</v>
      </c>
      <c r="B46">
        <f>analog_to_percentage[[#This Row],[Percentage]]</f>
        <v>44</v>
      </c>
      <c r="C46" s="4">
        <f t="shared" si="7"/>
        <v>11</v>
      </c>
      <c r="D46">
        <f t="shared" si="4"/>
        <v>44.086021505376344</v>
      </c>
      <c r="E46">
        <f t="shared" si="5"/>
        <v>44</v>
      </c>
      <c r="F46" s="4" t="b">
        <f t="shared" si="6"/>
        <v>1</v>
      </c>
    </row>
    <row r="47" spans="1:6" x14ac:dyDescent="0.3">
      <c r="A47">
        <f>analog_to_percentage[[#This Row],[Analog]]</f>
        <v>461</v>
      </c>
      <c r="B47">
        <f>analog_to_percentage[[#This Row],[Percentage]]</f>
        <v>45</v>
      </c>
      <c r="C47" s="4">
        <f t="shared" si="7"/>
        <v>10</v>
      </c>
      <c r="D47">
        <f t="shared" si="4"/>
        <v>45.063538611925708</v>
      </c>
      <c r="E47">
        <f t="shared" si="5"/>
        <v>45</v>
      </c>
      <c r="F47" s="4" t="b">
        <f t="shared" si="6"/>
        <v>1</v>
      </c>
    </row>
    <row r="48" spans="1:6" x14ac:dyDescent="0.3">
      <c r="A48">
        <f>analog_to_percentage[[#This Row],[Analog]]</f>
        <v>471</v>
      </c>
      <c r="B48">
        <f>analog_to_percentage[[#This Row],[Percentage]]</f>
        <v>46</v>
      </c>
      <c r="C48" s="4">
        <f t="shared" si="7"/>
        <v>10</v>
      </c>
      <c r="D48">
        <f t="shared" si="4"/>
        <v>46.041055718475072</v>
      </c>
      <c r="E48">
        <f t="shared" si="5"/>
        <v>46</v>
      </c>
      <c r="F48" s="4" t="b">
        <f t="shared" si="6"/>
        <v>1</v>
      </c>
    </row>
    <row r="49" spans="1:6" x14ac:dyDescent="0.3">
      <c r="A49">
        <f>analog_to_percentage[[#This Row],[Analog]]</f>
        <v>481</v>
      </c>
      <c r="B49">
        <f>analog_to_percentage[[#This Row],[Percentage]]</f>
        <v>47</v>
      </c>
      <c r="C49" s="4">
        <f t="shared" si="7"/>
        <v>10</v>
      </c>
      <c r="D49">
        <f t="shared" si="4"/>
        <v>47.018572825024435</v>
      </c>
      <c r="E49">
        <f t="shared" si="5"/>
        <v>47</v>
      </c>
      <c r="F49" s="4" t="b">
        <f t="shared" si="6"/>
        <v>1</v>
      </c>
    </row>
    <row r="50" spans="1:6" x14ac:dyDescent="0.3">
      <c r="A50">
        <f>analog_to_percentage[[#This Row],[Analog]]</f>
        <v>492</v>
      </c>
      <c r="B50">
        <f>analog_to_percentage[[#This Row],[Percentage]]</f>
        <v>48</v>
      </c>
      <c r="C50" s="4">
        <f t="shared" si="7"/>
        <v>11</v>
      </c>
      <c r="D50">
        <f t="shared" si="4"/>
        <v>48.093841642228739</v>
      </c>
      <c r="E50">
        <f t="shared" si="5"/>
        <v>48</v>
      </c>
      <c r="F50" s="4" t="b">
        <f t="shared" si="6"/>
        <v>1</v>
      </c>
    </row>
    <row r="51" spans="1:6" x14ac:dyDescent="0.3">
      <c r="A51">
        <f>analog_to_percentage[[#This Row],[Analog]]</f>
        <v>502</v>
      </c>
      <c r="B51">
        <f>analog_to_percentage[[#This Row],[Percentage]]</f>
        <v>49</v>
      </c>
      <c r="C51" s="4">
        <f t="shared" si="7"/>
        <v>10</v>
      </c>
      <c r="D51">
        <f t="shared" si="4"/>
        <v>49.071358748778103</v>
      </c>
      <c r="E51">
        <f t="shared" si="5"/>
        <v>49</v>
      </c>
      <c r="F51" s="4" t="b">
        <f t="shared" si="6"/>
        <v>1</v>
      </c>
    </row>
    <row r="52" spans="1:6" x14ac:dyDescent="0.3">
      <c r="A52">
        <f>analog_to_percentage[[#This Row],[Analog]]</f>
        <v>512</v>
      </c>
      <c r="B52">
        <f>analog_to_percentage[[#This Row],[Percentage]]</f>
        <v>50</v>
      </c>
      <c r="C52" s="4">
        <f t="shared" si="7"/>
        <v>10</v>
      </c>
      <c r="D52">
        <f t="shared" si="4"/>
        <v>50.048875855327466</v>
      </c>
      <c r="E52">
        <f t="shared" si="5"/>
        <v>50</v>
      </c>
      <c r="F52" s="4" t="b">
        <f t="shared" si="6"/>
        <v>1</v>
      </c>
    </row>
    <row r="53" spans="1:6" x14ac:dyDescent="0.3">
      <c r="A53">
        <f>analog_to_percentage[[#This Row],[Analog]]</f>
        <v>522</v>
      </c>
      <c r="B53">
        <f>analog_to_percentage[[#This Row],[Percentage]]</f>
        <v>51</v>
      </c>
      <c r="C53" s="4">
        <f t="shared" si="7"/>
        <v>10</v>
      </c>
      <c r="D53">
        <f t="shared" si="4"/>
        <v>51.02639296187683</v>
      </c>
      <c r="E53">
        <f t="shared" si="5"/>
        <v>51</v>
      </c>
      <c r="F53" s="4" t="b">
        <f t="shared" si="6"/>
        <v>1</v>
      </c>
    </row>
    <row r="54" spans="1:6" x14ac:dyDescent="0.3">
      <c r="A54">
        <f>analog_to_percentage[[#This Row],[Analog]]</f>
        <v>532</v>
      </c>
      <c r="B54">
        <f>analog_to_percentage[[#This Row],[Percentage]]</f>
        <v>52</v>
      </c>
      <c r="C54" s="4">
        <f t="shared" si="7"/>
        <v>10</v>
      </c>
      <c r="D54">
        <f t="shared" si="4"/>
        <v>52.003910068426194</v>
      </c>
      <c r="E54">
        <f t="shared" si="5"/>
        <v>52</v>
      </c>
      <c r="F54" s="4" t="b">
        <f t="shared" si="6"/>
        <v>1</v>
      </c>
    </row>
    <row r="55" spans="1:6" x14ac:dyDescent="0.3">
      <c r="A55">
        <f>analog_to_percentage[[#This Row],[Analog]]</f>
        <v>543</v>
      </c>
      <c r="B55">
        <f>analog_to_percentage[[#This Row],[Percentage]]</f>
        <v>53</v>
      </c>
      <c r="C55" s="4">
        <f t="shared" si="7"/>
        <v>11</v>
      </c>
      <c r="D55">
        <f t="shared" si="4"/>
        <v>53.079178885630498</v>
      </c>
      <c r="E55">
        <f t="shared" si="5"/>
        <v>53</v>
      </c>
      <c r="F55" s="4" t="b">
        <f t="shared" si="6"/>
        <v>1</v>
      </c>
    </row>
    <row r="56" spans="1:6" x14ac:dyDescent="0.3">
      <c r="A56">
        <f>analog_to_percentage[[#This Row],[Analog]]</f>
        <v>553</v>
      </c>
      <c r="B56">
        <f>analog_to_percentage[[#This Row],[Percentage]]</f>
        <v>54</v>
      </c>
      <c r="C56" s="4">
        <f t="shared" si="7"/>
        <v>10</v>
      </c>
      <c r="D56">
        <f t="shared" si="4"/>
        <v>54.056695992179861</v>
      </c>
      <c r="E56">
        <f t="shared" si="5"/>
        <v>54</v>
      </c>
      <c r="F56" s="4" t="b">
        <f t="shared" si="6"/>
        <v>1</v>
      </c>
    </row>
    <row r="57" spans="1:6" x14ac:dyDescent="0.3">
      <c r="A57">
        <f>analog_to_percentage[[#This Row],[Analog]]</f>
        <v>563</v>
      </c>
      <c r="B57">
        <f>analog_to_percentage[[#This Row],[Percentage]]</f>
        <v>55</v>
      </c>
      <c r="C57" s="4">
        <f t="shared" si="7"/>
        <v>10</v>
      </c>
      <c r="D57">
        <f t="shared" si="4"/>
        <v>55.034213098729225</v>
      </c>
      <c r="E57">
        <f t="shared" si="5"/>
        <v>55</v>
      </c>
      <c r="F57" s="4" t="b">
        <f t="shared" si="6"/>
        <v>1</v>
      </c>
    </row>
    <row r="58" spans="1:6" x14ac:dyDescent="0.3">
      <c r="A58">
        <f>analog_to_percentage[[#This Row],[Analog]]</f>
        <v>573</v>
      </c>
      <c r="B58">
        <f>analog_to_percentage[[#This Row],[Percentage]]</f>
        <v>56</v>
      </c>
      <c r="C58" s="4">
        <f t="shared" si="7"/>
        <v>10</v>
      </c>
      <c r="D58">
        <f t="shared" si="4"/>
        <v>56.011730205278589</v>
      </c>
      <c r="E58">
        <f t="shared" si="5"/>
        <v>56</v>
      </c>
      <c r="F58" s="4" t="b">
        <f t="shared" si="6"/>
        <v>1</v>
      </c>
    </row>
    <row r="59" spans="1:6" x14ac:dyDescent="0.3">
      <c r="A59">
        <f>analog_to_percentage[[#This Row],[Analog]]</f>
        <v>584</v>
      </c>
      <c r="B59">
        <f>analog_to_percentage[[#This Row],[Percentage]]</f>
        <v>57</v>
      </c>
      <c r="C59" s="4">
        <f t="shared" si="7"/>
        <v>11</v>
      </c>
      <c r="D59">
        <f t="shared" si="4"/>
        <v>57.086999022482892</v>
      </c>
      <c r="E59">
        <f t="shared" si="5"/>
        <v>57</v>
      </c>
      <c r="F59" s="4" t="b">
        <f t="shared" si="6"/>
        <v>1</v>
      </c>
    </row>
    <row r="60" spans="1:6" x14ac:dyDescent="0.3">
      <c r="A60">
        <f>analog_to_percentage[[#This Row],[Analog]]</f>
        <v>594</v>
      </c>
      <c r="B60">
        <f>analog_to_percentage[[#This Row],[Percentage]]</f>
        <v>58</v>
      </c>
      <c r="C60" s="4">
        <f t="shared" si="7"/>
        <v>10</v>
      </c>
      <c r="D60">
        <f t="shared" si="4"/>
        <v>58.064516129032256</v>
      </c>
      <c r="E60">
        <f t="shared" si="5"/>
        <v>58</v>
      </c>
      <c r="F60" s="4" t="b">
        <f t="shared" si="6"/>
        <v>1</v>
      </c>
    </row>
    <row r="61" spans="1:6" x14ac:dyDescent="0.3">
      <c r="A61">
        <f>analog_to_percentage[[#This Row],[Analog]]</f>
        <v>604</v>
      </c>
      <c r="B61">
        <f>analog_to_percentage[[#This Row],[Percentage]]</f>
        <v>59</v>
      </c>
      <c r="C61" s="4">
        <f t="shared" si="7"/>
        <v>10</v>
      </c>
      <c r="D61">
        <f t="shared" si="4"/>
        <v>59.04203323558162</v>
      </c>
      <c r="E61">
        <f t="shared" si="5"/>
        <v>59</v>
      </c>
      <c r="F61" s="4" t="b">
        <f t="shared" si="6"/>
        <v>1</v>
      </c>
    </row>
    <row r="62" spans="1:6" x14ac:dyDescent="0.3">
      <c r="A62">
        <f>analog_to_percentage[[#This Row],[Analog]]</f>
        <v>614</v>
      </c>
      <c r="B62">
        <f>analog_to_percentage[[#This Row],[Percentage]]</f>
        <v>60</v>
      </c>
      <c r="C62" s="4">
        <f t="shared" ref="C62:C102" si="8">(A62-A61)/(B62-B61)</f>
        <v>10</v>
      </c>
      <c r="D62">
        <f t="shared" ref="D62:D102" si="9">A62/$H$4</f>
        <v>60.019550342130984</v>
      </c>
      <c r="E62">
        <f t="shared" ref="E62:E102" si="10">FLOOR(D62,1)+ROUND($H$5*(D62-FLOOR(D62,1)),0)/$H$5</f>
        <v>60</v>
      </c>
      <c r="F62" s="4" t="b">
        <f t="shared" ref="F62:F102" si="11">$B62=E62</f>
        <v>1</v>
      </c>
    </row>
    <row r="63" spans="1:6" x14ac:dyDescent="0.3">
      <c r="A63">
        <f>analog_to_percentage[[#This Row],[Analog]]</f>
        <v>625</v>
      </c>
      <c r="B63">
        <f>analog_to_percentage[[#This Row],[Percentage]]</f>
        <v>61</v>
      </c>
      <c r="C63" s="4">
        <f t="shared" si="8"/>
        <v>11</v>
      </c>
      <c r="D63">
        <f t="shared" si="9"/>
        <v>61.094819159335287</v>
      </c>
      <c r="E63">
        <f t="shared" si="10"/>
        <v>61</v>
      </c>
      <c r="F63" s="4" t="b">
        <f t="shared" si="11"/>
        <v>1</v>
      </c>
    </row>
    <row r="64" spans="1:6" x14ac:dyDescent="0.3">
      <c r="A64">
        <f>analog_to_percentage[[#This Row],[Analog]]</f>
        <v>635</v>
      </c>
      <c r="B64">
        <f>analog_to_percentage[[#This Row],[Percentage]]</f>
        <v>62</v>
      </c>
      <c r="C64" s="4">
        <f t="shared" si="8"/>
        <v>10</v>
      </c>
      <c r="D64">
        <f t="shared" si="9"/>
        <v>62.072336265884651</v>
      </c>
      <c r="E64">
        <f t="shared" si="10"/>
        <v>62</v>
      </c>
      <c r="F64" s="4" t="b">
        <f t="shared" si="11"/>
        <v>1</v>
      </c>
    </row>
    <row r="65" spans="1:6" x14ac:dyDescent="0.3">
      <c r="A65">
        <f>analog_to_percentage[[#This Row],[Analog]]</f>
        <v>645</v>
      </c>
      <c r="B65">
        <f>analog_to_percentage[[#This Row],[Percentage]]</f>
        <v>63</v>
      </c>
      <c r="C65" s="4">
        <f t="shared" si="8"/>
        <v>10</v>
      </c>
      <c r="D65">
        <f t="shared" si="9"/>
        <v>63.049853372434015</v>
      </c>
      <c r="E65">
        <f t="shared" si="10"/>
        <v>63</v>
      </c>
      <c r="F65" s="4" t="b">
        <f t="shared" si="11"/>
        <v>1</v>
      </c>
    </row>
    <row r="66" spans="1:6" x14ac:dyDescent="0.3">
      <c r="A66">
        <f>analog_to_percentage[[#This Row],[Analog]]</f>
        <v>655</v>
      </c>
      <c r="B66">
        <f>analog_to_percentage[[#This Row],[Percentage]]</f>
        <v>64</v>
      </c>
      <c r="C66" s="4">
        <f t="shared" si="8"/>
        <v>10</v>
      </c>
      <c r="D66">
        <f t="shared" si="9"/>
        <v>64.027370478983386</v>
      </c>
      <c r="E66">
        <f t="shared" si="10"/>
        <v>64</v>
      </c>
      <c r="F66" s="4" t="b">
        <f t="shared" si="11"/>
        <v>1</v>
      </c>
    </row>
    <row r="67" spans="1:6" x14ac:dyDescent="0.3">
      <c r="A67">
        <f>analog_to_percentage[[#This Row],[Analog]]</f>
        <v>666</v>
      </c>
      <c r="B67">
        <f>analog_to_percentage[[#This Row],[Percentage]]</f>
        <v>65</v>
      </c>
      <c r="C67" s="4">
        <f t="shared" si="8"/>
        <v>11</v>
      </c>
      <c r="D67">
        <f t="shared" si="9"/>
        <v>65.102639296187675</v>
      </c>
      <c r="E67">
        <f t="shared" si="10"/>
        <v>65</v>
      </c>
      <c r="F67" s="4" t="b">
        <f t="shared" si="11"/>
        <v>1</v>
      </c>
    </row>
    <row r="68" spans="1:6" x14ac:dyDescent="0.3">
      <c r="A68">
        <f>analog_to_percentage[[#This Row],[Analog]]</f>
        <v>676</v>
      </c>
      <c r="B68">
        <f>analog_to_percentage[[#This Row],[Percentage]]</f>
        <v>66</v>
      </c>
      <c r="C68" s="4">
        <f t="shared" si="8"/>
        <v>10</v>
      </c>
      <c r="D68">
        <f t="shared" si="9"/>
        <v>66.080156402737046</v>
      </c>
      <c r="E68">
        <f t="shared" si="10"/>
        <v>66</v>
      </c>
      <c r="F68" s="4" t="b">
        <f t="shared" si="11"/>
        <v>1</v>
      </c>
    </row>
    <row r="69" spans="1:6" x14ac:dyDescent="0.3">
      <c r="A69">
        <f>analog_to_percentage[[#This Row],[Analog]]</f>
        <v>686</v>
      </c>
      <c r="B69">
        <f>analog_to_percentage[[#This Row],[Percentage]]</f>
        <v>67</v>
      </c>
      <c r="C69" s="4">
        <f t="shared" si="8"/>
        <v>10</v>
      </c>
      <c r="D69">
        <f t="shared" si="9"/>
        <v>67.057673509286403</v>
      </c>
      <c r="E69">
        <f t="shared" si="10"/>
        <v>67</v>
      </c>
      <c r="F69" s="4" t="b">
        <f t="shared" si="11"/>
        <v>1</v>
      </c>
    </row>
    <row r="70" spans="1:6" x14ac:dyDescent="0.3">
      <c r="A70">
        <f>analog_to_percentage[[#This Row],[Analog]]</f>
        <v>696</v>
      </c>
      <c r="B70">
        <f>analog_to_percentage[[#This Row],[Percentage]]</f>
        <v>68</v>
      </c>
      <c r="C70" s="4">
        <f t="shared" si="8"/>
        <v>10</v>
      </c>
      <c r="D70">
        <f t="shared" si="9"/>
        <v>68.035190615835774</v>
      </c>
      <c r="E70">
        <f t="shared" si="10"/>
        <v>68</v>
      </c>
      <c r="F70" s="4" t="b">
        <f t="shared" si="11"/>
        <v>1</v>
      </c>
    </row>
    <row r="71" spans="1:6" x14ac:dyDescent="0.3">
      <c r="A71">
        <f>analog_to_percentage[[#This Row],[Analog]]</f>
        <v>707</v>
      </c>
      <c r="B71">
        <f>analog_to_percentage[[#This Row],[Percentage]]</f>
        <v>69</v>
      </c>
      <c r="C71" s="4">
        <f t="shared" si="8"/>
        <v>11</v>
      </c>
      <c r="D71">
        <f t="shared" si="9"/>
        <v>69.110459433040077</v>
      </c>
      <c r="E71">
        <f t="shared" si="10"/>
        <v>69</v>
      </c>
      <c r="F71" s="4" t="b">
        <f t="shared" si="11"/>
        <v>1</v>
      </c>
    </row>
    <row r="72" spans="1:6" x14ac:dyDescent="0.3">
      <c r="A72">
        <f>analog_to_percentage[[#This Row],[Analog]]</f>
        <v>717</v>
      </c>
      <c r="B72">
        <f>analog_to_percentage[[#This Row],[Percentage]]</f>
        <v>70</v>
      </c>
      <c r="C72" s="4">
        <f t="shared" si="8"/>
        <v>10</v>
      </c>
      <c r="D72">
        <f t="shared" si="9"/>
        <v>70.087976539589434</v>
      </c>
      <c r="E72">
        <f t="shared" si="10"/>
        <v>70</v>
      </c>
      <c r="F72" s="4" t="b">
        <f t="shared" si="11"/>
        <v>1</v>
      </c>
    </row>
    <row r="73" spans="1:6" x14ac:dyDescent="0.3">
      <c r="A73">
        <f>analog_to_percentage[[#This Row],[Analog]]</f>
        <v>727</v>
      </c>
      <c r="B73">
        <f>analog_to_percentage[[#This Row],[Percentage]]</f>
        <v>71</v>
      </c>
      <c r="C73" s="4">
        <f t="shared" si="8"/>
        <v>10</v>
      </c>
      <c r="D73">
        <f t="shared" si="9"/>
        <v>71.065493646138805</v>
      </c>
      <c r="E73">
        <f t="shared" si="10"/>
        <v>71</v>
      </c>
      <c r="F73" s="4" t="b">
        <f t="shared" si="11"/>
        <v>1</v>
      </c>
    </row>
    <row r="74" spans="1:6" x14ac:dyDescent="0.3">
      <c r="A74">
        <f>analog_to_percentage[[#This Row],[Analog]]</f>
        <v>737</v>
      </c>
      <c r="B74">
        <f>analog_to_percentage[[#This Row],[Percentage]]</f>
        <v>72</v>
      </c>
      <c r="C74" s="4">
        <f t="shared" si="8"/>
        <v>10</v>
      </c>
      <c r="D74">
        <f t="shared" si="9"/>
        <v>72.043010752688176</v>
      </c>
      <c r="E74">
        <f t="shared" si="10"/>
        <v>72</v>
      </c>
      <c r="F74" s="4" t="b">
        <f t="shared" si="11"/>
        <v>1</v>
      </c>
    </row>
    <row r="75" spans="1:6" x14ac:dyDescent="0.3">
      <c r="A75">
        <f>analog_to_percentage[[#This Row],[Analog]]</f>
        <v>748</v>
      </c>
      <c r="B75">
        <f>analog_to_percentage[[#This Row],[Percentage]]</f>
        <v>73</v>
      </c>
      <c r="C75" s="4">
        <f t="shared" si="8"/>
        <v>11</v>
      </c>
      <c r="D75">
        <f t="shared" si="9"/>
        <v>73.118279569892465</v>
      </c>
      <c r="E75">
        <f t="shared" si="10"/>
        <v>73</v>
      </c>
      <c r="F75" s="4" t="b">
        <f t="shared" si="11"/>
        <v>1</v>
      </c>
    </row>
    <row r="76" spans="1:6" x14ac:dyDescent="0.3">
      <c r="A76">
        <f>analog_to_percentage[[#This Row],[Analog]]</f>
        <v>758</v>
      </c>
      <c r="B76">
        <f>analog_to_percentage[[#This Row],[Percentage]]</f>
        <v>74</v>
      </c>
      <c r="C76" s="4">
        <f t="shared" si="8"/>
        <v>10</v>
      </c>
      <c r="D76">
        <f t="shared" si="9"/>
        <v>74.095796676441836</v>
      </c>
      <c r="E76">
        <f t="shared" si="10"/>
        <v>74</v>
      </c>
      <c r="F76" s="4" t="b">
        <f t="shared" si="11"/>
        <v>1</v>
      </c>
    </row>
    <row r="77" spans="1:6" x14ac:dyDescent="0.3">
      <c r="A77">
        <f>analog_to_percentage[[#This Row],[Analog]]</f>
        <v>768</v>
      </c>
      <c r="B77">
        <f>analog_to_percentage[[#This Row],[Percentage]]</f>
        <v>75</v>
      </c>
      <c r="C77" s="4">
        <f t="shared" si="8"/>
        <v>10</v>
      </c>
      <c r="D77">
        <f t="shared" si="9"/>
        <v>75.073313782991193</v>
      </c>
      <c r="E77">
        <f t="shared" si="10"/>
        <v>75</v>
      </c>
      <c r="F77" s="4" t="b">
        <f t="shared" si="11"/>
        <v>1</v>
      </c>
    </row>
    <row r="78" spans="1:6" x14ac:dyDescent="0.3">
      <c r="A78">
        <f>analog_to_percentage[[#This Row],[Analog]]</f>
        <v>778</v>
      </c>
      <c r="B78">
        <f>analog_to_percentage[[#This Row],[Percentage]]</f>
        <v>76</v>
      </c>
      <c r="C78" s="4">
        <f t="shared" si="8"/>
        <v>10</v>
      </c>
      <c r="D78">
        <f t="shared" si="9"/>
        <v>76.050830889540563</v>
      </c>
      <c r="E78">
        <f t="shared" si="10"/>
        <v>76</v>
      </c>
      <c r="F78" s="4" t="b">
        <f t="shared" si="11"/>
        <v>1</v>
      </c>
    </row>
    <row r="79" spans="1:6" x14ac:dyDescent="0.3">
      <c r="A79">
        <f>analog_to_percentage[[#This Row],[Analog]]</f>
        <v>788</v>
      </c>
      <c r="B79">
        <f>analog_to_percentage[[#This Row],[Percentage]]</f>
        <v>77</v>
      </c>
      <c r="C79" s="4">
        <f t="shared" si="8"/>
        <v>10</v>
      </c>
      <c r="D79">
        <f t="shared" si="9"/>
        <v>77.028347996089934</v>
      </c>
      <c r="E79">
        <f t="shared" si="10"/>
        <v>77</v>
      </c>
      <c r="F79" s="4" t="b">
        <f t="shared" si="11"/>
        <v>1</v>
      </c>
    </row>
    <row r="80" spans="1:6" x14ac:dyDescent="0.3">
      <c r="A80">
        <f>analog_to_percentage[[#This Row],[Analog]]</f>
        <v>799</v>
      </c>
      <c r="B80">
        <f>analog_to_percentage[[#This Row],[Percentage]]</f>
        <v>78</v>
      </c>
      <c r="C80" s="4">
        <f t="shared" si="8"/>
        <v>11</v>
      </c>
      <c r="D80">
        <f t="shared" si="9"/>
        <v>78.103616813294224</v>
      </c>
      <c r="E80">
        <f t="shared" si="10"/>
        <v>78</v>
      </c>
      <c r="F80" s="4" t="b">
        <f t="shared" si="11"/>
        <v>1</v>
      </c>
    </row>
    <row r="81" spans="1:6" x14ac:dyDescent="0.3">
      <c r="A81">
        <f>analog_to_percentage[[#This Row],[Analog]]</f>
        <v>809</v>
      </c>
      <c r="B81">
        <f>analog_to_percentage[[#This Row],[Percentage]]</f>
        <v>79</v>
      </c>
      <c r="C81" s="4">
        <f t="shared" si="8"/>
        <v>10</v>
      </c>
      <c r="D81">
        <f t="shared" si="9"/>
        <v>79.081133919843595</v>
      </c>
      <c r="E81">
        <f t="shared" si="10"/>
        <v>79</v>
      </c>
      <c r="F81" s="4" t="b">
        <f t="shared" si="11"/>
        <v>1</v>
      </c>
    </row>
    <row r="82" spans="1:6" x14ac:dyDescent="0.3">
      <c r="A82">
        <f>analog_to_percentage[[#This Row],[Analog]]</f>
        <v>819</v>
      </c>
      <c r="B82">
        <f>analog_to_percentage[[#This Row],[Percentage]]</f>
        <v>80</v>
      </c>
      <c r="C82" s="4">
        <f t="shared" si="8"/>
        <v>10</v>
      </c>
      <c r="D82">
        <f t="shared" si="9"/>
        <v>80.058651026392965</v>
      </c>
      <c r="E82">
        <f t="shared" si="10"/>
        <v>80</v>
      </c>
      <c r="F82" s="4" t="b">
        <f t="shared" si="11"/>
        <v>1</v>
      </c>
    </row>
    <row r="83" spans="1:6" x14ac:dyDescent="0.3">
      <c r="A83">
        <f>analog_to_percentage[[#This Row],[Analog]]</f>
        <v>829</v>
      </c>
      <c r="B83">
        <f>analog_to_percentage[[#This Row],[Percentage]]</f>
        <v>81</v>
      </c>
      <c r="C83" s="4">
        <f t="shared" si="8"/>
        <v>10</v>
      </c>
      <c r="D83">
        <f t="shared" si="9"/>
        <v>81.036168132942322</v>
      </c>
      <c r="E83">
        <f t="shared" si="10"/>
        <v>81</v>
      </c>
      <c r="F83" s="4" t="b">
        <f t="shared" si="11"/>
        <v>1</v>
      </c>
    </row>
    <row r="84" spans="1:6" x14ac:dyDescent="0.3">
      <c r="A84">
        <f>analog_to_percentage[[#This Row],[Analog]]</f>
        <v>840</v>
      </c>
      <c r="B84">
        <f>analog_to_percentage[[#This Row],[Percentage]]</f>
        <v>82</v>
      </c>
      <c r="C84" s="4">
        <f t="shared" si="8"/>
        <v>11</v>
      </c>
      <c r="D84">
        <f t="shared" si="9"/>
        <v>82.111436950146626</v>
      </c>
      <c r="E84">
        <f t="shared" si="10"/>
        <v>82</v>
      </c>
      <c r="F84" s="4" t="b">
        <f t="shared" si="11"/>
        <v>1</v>
      </c>
    </row>
    <row r="85" spans="1:6" x14ac:dyDescent="0.3">
      <c r="A85">
        <f>analog_to_percentage[[#This Row],[Analog]]</f>
        <v>850</v>
      </c>
      <c r="B85">
        <f>analog_to_percentage[[#This Row],[Percentage]]</f>
        <v>83</v>
      </c>
      <c r="C85" s="4">
        <f t="shared" si="8"/>
        <v>10</v>
      </c>
      <c r="D85">
        <f t="shared" si="9"/>
        <v>83.088954056695982</v>
      </c>
      <c r="E85">
        <f t="shared" si="10"/>
        <v>83</v>
      </c>
      <c r="F85" s="4" t="b">
        <f t="shared" si="11"/>
        <v>1</v>
      </c>
    </row>
    <row r="86" spans="1:6" x14ac:dyDescent="0.3">
      <c r="A86">
        <f>analog_to_percentage[[#This Row],[Analog]]</f>
        <v>860</v>
      </c>
      <c r="B86">
        <f>analog_to_percentage[[#This Row],[Percentage]]</f>
        <v>84</v>
      </c>
      <c r="C86" s="4">
        <f t="shared" si="8"/>
        <v>10</v>
      </c>
      <c r="D86">
        <f t="shared" si="9"/>
        <v>84.066471163245353</v>
      </c>
      <c r="E86">
        <f t="shared" si="10"/>
        <v>84</v>
      </c>
      <c r="F86" s="4" t="b">
        <f t="shared" si="11"/>
        <v>1</v>
      </c>
    </row>
    <row r="87" spans="1:6" x14ac:dyDescent="0.3">
      <c r="A87">
        <f>analog_to_percentage[[#This Row],[Analog]]</f>
        <v>870</v>
      </c>
      <c r="B87">
        <f>analog_to_percentage[[#This Row],[Percentage]]</f>
        <v>85</v>
      </c>
      <c r="C87" s="4">
        <f t="shared" si="8"/>
        <v>10</v>
      </c>
      <c r="D87">
        <f t="shared" si="9"/>
        <v>85.043988269794724</v>
      </c>
      <c r="E87">
        <f t="shared" si="10"/>
        <v>85</v>
      </c>
      <c r="F87" s="4" t="b">
        <f t="shared" si="11"/>
        <v>1</v>
      </c>
    </row>
    <row r="88" spans="1:6" x14ac:dyDescent="0.3">
      <c r="A88">
        <f>analog_to_percentage[[#This Row],[Analog]]</f>
        <v>881</v>
      </c>
      <c r="B88">
        <f>analog_to_percentage[[#This Row],[Percentage]]</f>
        <v>86</v>
      </c>
      <c r="C88" s="4">
        <f t="shared" si="8"/>
        <v>11</v>
      </c>
      <c r="D88">
        <f t="shared" si="9"/>
        <v>86.119257086999013</v>
      </c>
      <c r="E88">
        <f t="shared" si="10"/>
        <v>86</v>
      </c>
      <c r="F88" s="4" t="b">
        <f t="shared" si="11"/>
        <v>1</v>
      </c>
    </row>
    <row r="89" spans="1:6" x14ac:dyDescent="0.3">
      <c r="A89">
        <f>analog_to_percentage[[#This Row],[Analog]]</f>
        <v>891</v>
      </c>
      <c r="B89">
        <f>analog_to_percentage[[#This Row],[Percentage]]</f>
        <v>87</v>
      </c>
      <c r="C89" s="4">
        <f t="shared" si="8"/>
        <v>10</v>
      </c>
      <c r="D89">
        <f t="shared" si="9"/>
        <v>87.096774193548384</v>
      </c>
      <c r="E89">
        <f t="shared" si="10"/>
        <v>87</v>
      </c>
      <c r="F89" s="4" t="b">
        <f t="shared" si="11"/>
        <v>1</v>
      </c>
    </row>
    <row r="90" spans="1:6" x14ac:dyDescent="0.3">
      <c r="A90">
        <f>analog_to_percentage[[#This Row],[Analog]]</f>
        <v>901</v>
      </c>
      <c r="B90">
        <f>analog_to_percentage[[#This Row],[Percentage]]</f>
        <v>88</v>
      </c>
      <c r="C90" s="4">
        <f t="shared" si="8"/>
        <v>10</v>
      </c>
      <c r="D90">
        <f t="shared" si="9"/>
        <v>88.074291300097741</v>
      </c>
      <c r="E90">
        <f t="shared" si="10"/>
        <v>88</v>
      </c>
      <c r="F90" s="4" t="b">
        <f t="shared" si="11"/>
        <v>1</v>
      </c>
    </row>
    <row r="91" spans="1:6" x14ac:dyDescent="0.3">
      <c r="A91">
        <f>analog_to_percentage[[#This Row],[Analog]]</f>
        <v>911</v>
      </c>
      <c r="B91">
        <f>analog_to_percentage[[#This Row],[Percentage]]</f>
        <v>89</v>
      </c>
      <c r="C91" s="4">
        <f t="shared" si="8"/>
        <v>10</v>
      </c>
      <c r="D91">
        <f t="shared" si="9"/>
        <v>89.051808406647112</v>
      </c>
      <c r="E91">
        <f t="shared" si="10"/>
        <v>89</v>
      </c>
      <c r="F91" s="4" t="b">
        <f t="shared" si="11"/>
        <v>1</v>
      </c>
    </row>
    <row r="92" spans="1:6" x14ac:dyDescent="0.3">
      <c r="A92">
        <f>analog_to_percentage[[#This Row],[Analog]]</f>
        <v>922</v>
      </c>
      <c r="B92">
        <f>analog_to_percentage[[#This Row],[Percentage]]</f>
        <v>90</v>
      </c>
      <c r="C92" s="4">
        <f t="shared" si="8"/>
        <v>11</v>
      </c>
      <c r="D92">
        <f t="shared" si="9"/>
        <v>90.127077223851416</v>
      </c>
      <c r="E92">
        <f t="shared" si="10"/>
        <v>90</v>
      </c>
      <c r="F92" s="4" t="b">
        <f t="shared" si="11"/>
        <v>1</v>
      </c>
    </row>
    <row r="93" spans="1:6" x14ac:dyDescent="0.3">
      <c r="A93">
        <f>analog_to_percentage[[#This Row],[Analog]]</f>
        <v>932</v>
      </c>
      <c r="B93">
        <f>analog_to_percentage[[#This Row],[Percentage]]</f>
        <v>91</v>
      </c>
      <c r="C93" s="4">
        <f t="shared" si="8"/>
        <v>10</v>
      </c>
      <c r="D93">
        <f t="shared" si="9"/>
        <v>91.104594330400772</v>
      </c>
      <c r="E93">
        <f t="shared" si="10"/>
        <v>91</v>
      </c>
      <c r="F93" s="4" t="b">
        <f t="shared" si="11"/>
        <v>1</v>
      </c>
    </row>
    <row r="94" spans="1:6" x14ac:dyDescent="0.3">
      <c r="A94">
        <f>analog_to_percentage[[#This Row],[Analog]]</f>
        <v>942</v>
      </c>
      <c r="B94">
        <f>analog_to_percentage[[#This Row],[Percentage]]</f>
        <v>92</v>
      </c>
      <c r="C94" s="4">
        <f t="shared" si="8"/>
        <v>10</v>
      </c>
      <c r="D94">
        <f t="shared" si="9"/>
        <v>92.082111436950143</v>
      </c>
      <c r="E94">
        <f t="shared" si="10"/>
        <v>92</v>
      </c>
      <c r="F94" s="4" t="b">
        <f t="shared" si="11"/>
        <v>1</v>
      </c>
    </row>
    <row r="95" spans="1:6" x14ac:dyDescent="0.3">
      <c r="A95">
        <f>analog_to_percentage[[#This Row],[Analog]]</f>
        <v>952</v>
      </c>
      <c r="B95">
        <f>analog_to_percentage[[#This Row],[Percentage]]</f>
        <v>93</v>
      </c>
      <c r="C95" s="4">
        <f t="shared" si="8"/>
        <v>10</v>
      </c>
      <c r="D95">
        <f t="shared" si="9"/>
        <v>93.059628543499514</v>
      </c>
      <c r="E95">
        <f t="shared" si="10"/>
        <v>93</v>
      </c>
      <c r="F95" s="4" t="b">
        <f t="shared" si="11"/>
        <v>1</v>
      </c>
    </row>
    <row r="96" spans="1:6" x14ac:dyDescent="0.3">
      <c r="A96">
        <f>analog_to_percentage[[#This Row],[Analog]]</f>
        <v>963</v>
      </c>
      <c r="B96">
        <f>analog_to_percentage[[#This Row],[Percentage]]</f>
        <v>94</v>
      </c>
      <c r="C96" s="4">
        <f t="shared" si="8"/>
        <v>11</v>
      </c>
      <c r="D96">
        <f t="shared" si="9"/>
        <v>94.134897360703803</v>
      </c>
      <c r="E96">
        <f t="shared" si="10"/>
        <v>94</v>
      </c>
      <c r="F96" s="4" t="b">
        <f t="shared" si="11"/>
        <v>1</v>
      </c>
    </row>
    <row r="97" spans="1:6" x14ac:dyDescent="0.3">
      <c r="A97">
        <f>analog_to_percentage[[#This Row],[Analog]]</f>
        <v>973</v>
      </c>
      <c r="B97">
        <f>analog_to_percentage[[#This Row],[Percentage]]</f>
        <v>95</v>
      </c>
      <c r="C97" s="4">
        <f t="shared" si="8"/>
        <v>10</v>
      </c>
      <c r="D97">
        <f t="shared" si="9"/>
        <v>95.112414467253174</v>
      </c>
      <c r="E97">
        <f t="shared" si="10"/>
        <v>95</v>
      </c>
      <c r="F97" s="4" t="b">
        <f t="shared" si="11"/>
        <v>1</v>
      </c>
    </row>
    <row r="98" spans="1:6" x14ac:dyDescent="0.3">
      <c r="A98">
        <f>analog_to_percentage[[#This Row],[Analog]]</f>
        <v>983</v>
      </c>
      <c r="B98">
        <f>analog_to_percentage[[#This Row],[Percentage]]</f>
        <v>96</v>
      </c>
      <c r="C98" s="4">
        <f t="shared" si="8"/>
        <v>10</v>
      </c>
      <c r="D98">
        <f t="shared" si="9"/>
        <v>96.089931573802531</v>
      </c>
      <c r="E98">
        <f t="shared" si="10"/>
        <v>96</v>
      </c>
      <c r="F98" s="4" t="b">
        <f t="shared" si="11"/>
        <v>1</v>
      </c>
    </row>
    <row r="99" spans="1:6" x14ac:dyDescent="0.3">
      <c r="A99">
        <f>analog_to_percentage[[#This Row],[Analog]]</f>
        <v>993</v>
      </c>
      <c r="B99">
        <f>analog_to_percentage[[#This Row],[Percentage]]</f>
        <v>97</v>
      </c>
      <c r="C99" s="4">
        <f t="shared" si="8"/>
        <v>10</v>
      </c>
      <c r="D99">
        <f t="shared" si="9"/>
        <v>97.067448680351902</v>
      </c>
      <c r="E99">
        <f t="shared" si="10"/>
        <v>97</v>
      </c>
      <c r="F99" s="4" t="b">
        <f t="shared" si="11"/>
        <v>1</v>
      </c>
    </row>
    <row r="100" spans="1:6" x14ac:dyDescent="0.3">
      <c r="A100">
        <f>analog_to_percentage[[#This Row],[Analog]]</f>
        <v>1004</v>
      </c>
      <c r="B100">
        <f>analog_to_percentage[[#This Row],[Percentage]]</f>
        <v>98</v>
      </c>
      <c r="C100" s="4">
        <f t="shared" si="8"/>
        <v>11</v>
      </c>
      <c r="D100">
        <f t="shared" si="9"/>
        <v>98.142717497556205</v>
      </c>
      <c r="E100">
        <f t="shared" si="10"/>
        <v>98</v>
      </c>
      <c r="F100" s="4" t="b">
        <f t="shared" si="11"/>
        <v>1</v>
      </c>
    </row>
    <row r="101" spans="1:6" x14ac:dyDescent="0.3">
      <c r="A101">
        <f>analog_to_percentage[[#This Row],[Analog]]</f>
        <v>1014</v>
      </c>
      <c r="B101">
        <f>analog_to_percentage[[#This Row],[Percentage]]</f>
        <v>99</v>
      </c>
      <c r="C101" s="4">
        <f t="shared" si="8"/>
        <v>10</v>
      </c>
      <c r="D101">
        <f t="shared" si="9"/>
        <v>99.120234604105562</v>
      </c>
      <c r="E101">
        <f t="shared" si="10"/>
        <v>99</v>
      </c>
      <c r="F101" s="4" t="b">
        <f t="shared" si="11"/>
        <v>1</v>
      </c>
    </row>
    <row r="102" spans="1:6" x14ac:dyDescent="0.3">
      <c r="A102">
        <f>analog_to_percentage[[#This Row],[Analog]]</f>
        <v>1023</v>
      </c>
      <c r="B102">
        <f>analog_to_percentage[[#This Row],[Percentage]]</f>
        <v>100</v>
      </c>
      <c r="C102" s="4">
        <f t="shared" si="8"/>
        <v>9</v>
      </c>
      <c r="D102">
        <f t="shared" si="9"/>
        <v>100</v>
      </c>
      <c r="E102">
        <f t="shared" si="10"/>
        <v>100</v>
      </c>
      <c r="F102" s="4" t="b">
        <f t="shared" si="11"/>
        <v>1</v>
      </c>
    </row>
  </sheetData>
  <mergeCells count="2">
    <mergeCell ref="G1:H1"/>
    <mergeCell ref="I1:P1"/>
  </mergeCells>
  <conditionalFormatting sqref="F1:F1048576">
    <cfRule type="expression" dxfId="0" priority="3">
      <formula>AND(F1&lt;&gt;"",F1=FALSE)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3B5F-0BFA-4A72-8E0A-4EEB20B3E891}">
  <dimension ref="A1:B102"/>
  <sheetViews>
    <sheetView topLeftCell="A76" workbookViewId="0"/>
  </sheetViews>
  <sheetFormatPr defaultRowHeight="14.4" x14ac:dyDescent="0.3"/>
  <cols>
    <col min="1" max="1" width="8.77734375" bestFit="1" customWidth="1"/>
    <col min="2" max="2" width="12.5546875" bestFit="1" customWidth="1"/>
  </cols>
  <sheetData>
    <row r="1" spans="1:2" x14ac:dyDescent="0.3">
      <c r="A1" t="s">
        <v>11</v>
      </c>
      <c r="B1" t="s">
        <v>16</v>
      </c>
    </row>
    <row r="2" spans="1:2" x14ac:dyDescent="0.3">
      <c r="A2">
        <v>0</v>
      </c>
      <c r="B2">
        <v>0</v>
      </c>
    </row>
    <row r="3" spans="1:2" x14ac:dyDescent="0.3">
      <c r="A3">
        <v>10</v>
      </c>
      <c r="B3">
        <v>1</v>
      </c>
    </row>
    <row r="4" spans="1:2" x14ac:dyDescent="0.3">
      <c r="A4">
        <v>20</v>
      </c>
      <c r="B4">
        <v>2</v>
      </c>
    </row>
    <row r="5" spans="1:2" x14ac:dyDescent="0.3">
      <c r="A5">
        <v>31</v>
      </c>
      <c r="B5">
        <v>3</v>
      </c>
    </row>
    <row r="6" spans="1:2" x14ac:dyDescent="0.3">
      <c r="A6">
        <v>41</v>
      </c>
      <c r="B6">
        <v>4</v>
      </c>
    </row>
    <row r="7" spans="1:2" x14ac:dyDescent="0.3">
      <c r="A7">
        <v>51</v>
      </c>
      <c r="B7">
        <v>5</v>
      </c>
    </row>
    <row r="8" spans="1:2" x14ac:dyDescent="0.3">
      <c r="A8">
        <v>61</v>
      </c>
      <c r="B8">
        <v>6</v>
      </c>
    </row>
    <row r="9" spans="1:2" x14ac:dyDescent="0.3">
      <c r="A9">
        <v>72</v>
      </c>
      <c r="B9">
        <v>7</v>
      </c>
    </row>
    <row r="10" spans="1:2" x14ac:dyDescent="0.3">
      <c r="A10">
        <v>82</v>
      </c>
      <c r="B10">
        <v>8</v>
      </c>
    </row>
    <row r="11" spans="1:2" x14ac:dyDescent="0.3">
      <c r="A11">
        <v>92</v>
      </c>
      <c r="B11">
        <v>9</v>
      </c>
    </row>
    <row r="12" spans="1:2" x14ac:dyDescent="0.3">
      <c r="A12">
        <v>102</v>
      </c>
      <c r="B12">
        <v>10</v>
      </c>
    </row>
    <row r="13" spans="1:2" x14ac:dyDescent="0.3">
      <c r="A13">
        <v>113</v>
      </c>
      <c r="B13">
        <v>11</v>
      </c>
    </row>
    <row r="14" spans="1:2" x14ac:dyDescent="0.3">
      <c r="A14">
        <v>123</v>
      </c>
      <c r="B14">
        <v>12</v>
      </c>
    </row>
    <row r="15" spans="1:2" x14ac:dyDescent="0.3">
      <c r="A15">
        <v>133</v>
      </c>
      <c r="B15">
        <v>13</v>
      </c>
    </row>
    <row r="16" spans="1:2" x14ac:dyDescent="0.3">
      <c r="A16">
        <v>143</v>
      </c>
      <c r="B16">
        <v>14</v>
      </c>
    </row>
    <row r="17" spans="1:2" x14ac:dyDescent="0.3">
      <c r="A17">
        <v>154</v>
      </c>
      <c r="B17">
        <v>15</v>
      </c>
    </row>
    <row r="18" spans="1:2" x14ac:dyDescent="0.3">
      <c r="A18">
        <v>164</v>
      </c>
      <c r="B18">
        <v>16</v>
      </c>
    </row>
    <row r="19" spans="1:2" x14ac:dyDescent="0.3">
      <c r="A19">
        <v>174</v>
      </c>
      <c r="B19">
        <v>17</v>
      </c>
    </row>
    <row r="20" spans="1:2" x14ac:dyDescent="0.3">
      <c r="A20">
        <v>184</v>
      </c>
      <c r="B20">
        <v>18</v>
      </c>
    </row>
    <row r="21" spans="1:2" x14ac:dyDescent="0.3">
      <c r="A21">
        <v>195</v>
      </c>
      <c r="B21">
        <v>19</v>
      </c>
    </row>
    <row r="22" spans="1:2" x14ac:dyDescent="0.3">
      <c r="A22">
        <v>205</v>
      </c>
      <c r="B22">
        <v>20</v>
      </c>
    </row>
    <row r="23" spans="1:2" x14ac:dyDescent="0.3">
      <c r="A23">
        <v>215</v>
      </c>
      <c r="B23">
        <v>21</v>
      </c>
    </row>
    <row r="24" spans="1:2" x14ac:dyDescent="0.3">
      <c r="A24">
        <v>225</v>
      </c>
      <c r="B24">
        <v>22</v>
      </c>
    </row>
    <row r="25" spans="1:2" x14ac:dyDescent="0.3">
      <c r="A25">
        <v>236</v>
      </c>
      <c r="B25">
        <v>23</v>
      </c>
    </row>
    <row r="26" spans="1:2" x14ac:dyDescent="0.3">
      <c r="A26">
        <v>246</v>
      </c>
      <c r="B26">
        <v>24</v>
      </c>
    </row>
    <row r="27" spans="1:2" x14ac:dyDescent="0.3">
      <c r="A27">
        <v>256</v>
      </c>
      <c r="B27">
        <v>25</v>
      </c>
    </row>
    <row r="28" spans="1:2" x14ac:dyDescent="0.3">
      <c r="A28">
        <v>266</v>
      </c>
      <c r="B28">
        <v>26</v>
      </c>
    </row>
    <row r="29" spans="1:2" x14ac:dyDescent="0.3">
      <c r="A29">
        <v>276</v>
      </c>
      <c r="B29">
        <v>27</v>
      </c>
    </row>
    <row r="30" spans="1:2" x14ac:dyDescent="0.3">
      <c r="A30">
        <v>287</v>
      </c>
      <c r="B30">
        <v>28</v>
      </c>
    </row>
    <row r="31" spans="1:2" x14ac:dyDescent="0.3">
      <c r="A31">
        <v>297</v>
      </c>
      <c r="B31">
        <v>29</v>
      </c>
    </row>
    <row r="32" spans="1:2" x14ac:dyDescent="0.3">
      <c r="A32">
        <v>307</v>
      </c>
      <c r="B32">
        <v>30</v>
      </c>
    </row>
    <row r="33" spans="1:2" x14ac:dyDescent="0.3">
      <c r="A33">
        <v>317</v>
      </c>
      <c r="B33">
        <v>31</v>
      </c>
    </row>
    <row r="34" spans="1:2" x14ac:dyDescent="0.3">
      <c r="A34">
        <v>328</v>
      </c>
      <c r="B34">
        <v>32</v>
      </c>
    </row>
    <row r="35" spans="1:2" x14ac:dyDescent="0.3">
      <c r="A35">
        <v>338</v>
      </c>
      <c r="B35">
        <v>33</v>
      </c>
    </row>
    <row r="36" spans="1:2" x14ac:dyDescent="0.3">
      <c r="A36">
        <v>348</v>
      </c>
      <c r="B36">
        <v>34</v>
      </c>
    </row>
    <row r="37" spans="1:2" x14ac:dyDescent="0.3">
      <c r="A37">
        <v>358</v>
      </c>
      <c r="B37">
        <v>35</v>
      </c>
    </row>
    <row r="38" spans="1:2" x14ac:dyDescent="0.3">
      <c r="A38">
        <v>369</v>
      </c>
      <c r="B38">
        <v>36</v>
      </c>
    </row>
    <row r="39" spans="1:2" x14ac:dyDescent="0.3">
      <c r="A39">
        <v>379</v>
      </c>
      <c r="B39">
        <v>37</v>
      </c>
    </row>
    <row r="40" spans="1:2" x14ac:dyDescent="0.3">
      <c r="A40">
        <v>389</v>
      </c>
      <c r="B40">
        <v>38</v>
      </c>
    </row>
    <row r="41" spans="1:2" x14ac:dyDescent="0.3">
      <c r="A41">
        <v>399</v>
      </c>
      <c r="B41">
        <v>39</v>
      </c>
    </row>
    <row r="42" spans="1:2" x14ac:dyDescent="0.3">
      <c r="A42">
        <v>410</v>
      </c>
      <c r="B42">
        <v>40</v>
      </c>
    </row>
    <row r="43" spans="1:2" x14ac:dyDescent="0.3">
      <c r="A43">
        <v>420</v>
      </c>
      <c r="B43">
        <v>41</v>
      </c>
    </row>
    <row r="44" spans="1:2" x14ac:dyDescent="0.3">
      <c r="A44">
        <v>430</v>
      </c>
      <c r="B44">
        <v>42</v>
      </c>
    </row>
    <row r="45" spans="1:2" x14ac:dyDescent="0.3">
      <c r="A45">
        <v>440</v>
      </c>
      <c r="B45">
        <v>43</v>
      </c>
    </row>
    <row r="46" spans="1:2" x14ac:dyDescent="0.3">
      <c r="A46">
        <v>451</v>
      </c>
      <c r="B46">
        <v>44</v>
      </c>
    </row>
    <row r="47" spans="1:2" x14ac:dyDescent="0.3">
      <c r="A47">
        <v>461</v>
      </c>
      <c r="B47">
        <v>45</v>
      </c>
    </row>
    <row r="48" spans="1:2" x14ac:dyDescent="0.3">
      <c r="A48">
        <v>471</v>
      </c>
      <c r="B48">
        <v>46</v>
      </c>
    </row>
    <row r="49" spans="1:2" x14ac:dyDescent="0.3">
      <c r="A49">
        <v>481</v>
      </c>
      <c r="B49">
        <v>47</v>
      </c>
    </row>
    <row r="50" spans="1:2" x14ac:dyDescent="0.3">
      <c r="A50">
        <v>492</v>
      </c>
      <c r="B50">
        <v>48</v>
      </c>
    </row>
    <row r="51" spans="1:2" x14ac:dyDescent="0.3">
      <c r="A51">
        <v>502</v>
      </c>
      <c r="B51">
        <v>49</v>
      </c>
    </row>
    <row r="52" spans="1:2" x14ac:dyDescent="0.3">
      <c r="A52">
        <v>512</v>
      </c>
      <c r="B52">
        <v>50</v>
      </c>
    </row>
    <row r="53" spans="1:2" x14ac:dyDescent="0.3">
      <c r="A53">
        <v>522</v>
      </c>
      <c r="B53">
        <v>51</v>
      </c>
    </row>
    <row r="54" spans="1:2" x14ac:dyDescent="0.3">
      <c r="A54">
        <v>532</v>
      </c>
      <c r="B54">
        <v>52</v>
      </c>
    </row>
    <row r="55" spans="1:2" x14ac:dyDescent="0.3">
      <c r="A55">
        <v>543</v>
      </c>
      <c r="B55">
        <v>53</v>
      </c>
    </row>
    <row r="56" spans="1:2" x14ac:dyDescent="0.3">
      <c r="A56">
        <v>553</v>
      </c>
      <c r="B56">
        <v>54</v>
      </c>
    </row>
    <row r="57" spans="1:2" x14ac:dyDescent="0.3">
      <c r="A57">
        <v>563</v>
      </c>
      <c r="B57">
        <v>55</v>
      </c>
    </row>
    <row r="58" spans="1:2" x14ac:dyDescent="0.3">
      <c r="A58">
        <v>573</v>
      </c>
      <c r="B58">
        <v>56</v>
      </c>
    </row>
    <row r="59" spans="1:2" x14ac:dyDescent="0.3">
      <c r="A59">
        <v>584</v>
      </c>
      <c r="B59">
        <v>57</v>
      </c>
    </row>
    <row r="60" spans="1:2" x14ac:dyDescent="0.3">
      <c r="A60">
        <v>594</v>
      </c>
      <c r="B60">
        <v>58</v>
      </c>
    </row>
    <row r="61" spans="1:2" x14ac:dyDescent="0.3">
      <c r="A61">
        <v>604</v>
      </c>
      <c r="B61">
        <v>59</v>
      </c>
    </row>
    <row r="62" spans="1:2" x14ac:dyDescent="0.3">
      <c r="A62">
        <v>614</v>
      </c>
      <c r="B62">
        <v>60</v>
      </c>
    </row>
    <row r="63" spans="1:2" x14ac:dyDescent="0.3">
      <c r="A63">
        <v>625</v>
      </c>
      <c r="B63">
        <v>61</v>
      </c>
    </row>
    <row r="64" spans="1:2" x14ac:dyDescent="0.3">
      <c r="A64">
        <v>635</v>
      </c>
      <c r="B64">
        <v>62</v>
      </c>
    </row>
    <row r="65" spans="1:2" x14ac:dyDescent="0.3">
      <c r="A65">
        <v>645</v>
      </c>
      <c r="B65">
        <v>63</v>
      </c>
    </row>
    <row r="66" spans="1:2" x14ac:dyDescent="0.3">
      <c r="A66">
        <v>655</v>
      </c>
      <c r="B66">
        <v>64</v>
      </c>
    </row>
    <row r="67" spans="1:2" x14ac:dyDescent="0.3">
      <c r="A67">
        <v>666</v>
      </c>
      <c r="B67">
        <v>65</v>
      </c>
    </row>
    <row r="68" spans="1:2" x14ac:dyDescent="0.3">
      <c r="A68">
        <v>676</v>
      </c>
      <c r="B68">
        <v>66</v>
      </c>
    </row>
    <row r="69" spans="1:2" x14ac:dyDescent="0.3">
      <c r="A69">
        <v>686</v>
      </c>
      <c r="B69">
        <v>67</v>
      </c>
    </row>
    <row r="70" spans="1:2" x14ac:dyDescent="0.3">
      <c r="A70">
        <v>696</v>
      </c>
      <c r="B70">
        <v>68</v>
      </c>
    </row>
    <row r="71" spans="1:2" x14ac:dyDescent="0.3">
      <c r="A71">
        <v>707</v>
      </c>
      <c r="B71">
        <v>69</v>
      </c>
    </row>
    <row r="72" spans="1:2" x14ac:dyDescent="0.3">
      <c r="A72">
        <v>717</v>
      </c>
      <c r="B72">
        <v>70</v>
      </c>
    </row>
    <row r="73" spans="1:2" x14ac:dyDescent="0.3">
      <c r="A73">
        <v>727</v>
      </c>
      <c r="B73">
        <v>71</v>
      </c>
    </row>
    <row r="74" spans="1:2" x14ac:dyDescent="0.3">
      <c r="A74">
        <v>737</v>
      </c>
      <c r="B74">
        <v>72</v>
      </c>
    </row>
    <row r="75" spans="1:2" x14ac:dyDescent="0.3">
      <c r="A75">
        <v>748</v>
      </c>
      <c r="B75">
        <v>73</v>
      </c>
    </row>
    <row r="76" spans="1:2" x14ac:dyDescent="0.3">
      <c r="A76">
        <v>758</v>
      </c>
      <c r="B76">
        <v>74</v>
      </c>
    </row>
    <row r="77" spans="1:2" x14ac:dyDescent="0.3">
      <c r="A77">
        <v>768</v>
      </c>
      <c r="B77">
        <v>75</v>
      </c>
    </row>
    <row r="78" spans="1:2" x14ac:dyDescent="0.3">
      <c r="A78">
        <v>778</v>
      </c>
      <c r="B78">
        <v>76</v>
      </c>
    </row>
    <row r="79" spans="1:2" x14ac:dyDescent="0.3">
      <c r="A79">
        <v>788</v>
      </c>
      <c r="B79">
        <v>77</v>
      </c>
    </row>
    <row r="80" spans="1:2" x14ac:dyDescent="0.3">
      <c r="A80">
        <v>799</v>
      </c>
      <c r="B80">
        <v>78</v>
      </c>
    </row>
    <row r="81" spans="1:2" x14ac:dyDescent="0.3">
      <c r="A81">
        <v>809</v>
      </c>
      <c r="B81">
        <v>79</v>
      </c>
    </row>
    <row r="82" spans="1:2" x14ac:dyDescent="0.3">
      <c r="A82">
        <v>819</v>
      </c>
      <c r="B82">
        <v>80</v>
      </c>
    </row>
    <row r="83" spans="1:2" x14ac:dyDescent="0.3">
      <c r="A83">
        <v>829</v>
      </c>
      <c r="B83">
        <v>81</v>
      </c>
    </row>
    <row r="84" spans="1:2" x14ac:dyDescent="0.3">
      <c r="A84">
        <v>840</v>
      </c>
      <c r="B84">
        <v>82</v>
      </c>
    </row>
    <row r="85" spans="1:2" x14ac:dyDescent="0.3">
      <c r="A85">
        <v>850</v>
      </c>
      <c r="B85">
        <v>83</v>
      </c>
    </row>
    <row r="86" spans="1:2" x14ac:dyDescent="0.3">
      <c r="A86">
        <v>860</v>
      </c>
      <c r="B86">
        <v>84</v>
      </c>
    </row>
    <row r="87" spans="1:2" x14ac:dyDescent="0.3">
      <c r="A87">
        <v>870</v>
      </c>
      <c r="B87">
        <v>85</v>
      </c>
    </row>
    <row r="88" spans="1:2" x14ac:dyDescent="0.3">
      <c r="A88">
        <v>881</v>
      </c>
      <c r="B88">
        <v>86</v>
      </c>
    </row>
    <row r="89" spans="1:2" x14ac:dyDescent="0.3">
      <c r="A89">
        <v>891</v>
      </c>
      <c r="B89">
        <v>87</v>
      </c>
    </row>
    <row r="90" spans="1:2" x14ac:dyDescent="0.3">
      <c r="A90">
        <v>901</v>
      </c>
      <c r="B90">
        <v>88</v>
      </c>
    </row>
    <row r="91" spans="1:2" x14ac:dyDescent="0.3">
      <c r="A91">
        <v>911</v>
      </c>
      <c r="B91">
        <v>89</v>
      </c>
    </row>
    <row r="92" spans="1:2" x14ac:dyDescent="0.3">
      <c r="A92">
        <v>922</v>
      </c>
      <c r="B92">
        <v>90</v>
      </c>
    </row>
    <row r="93" spans="1:2" x14ac:dyDescent="0.3">
      <c r="A93">
        <v>932</v>
      </c>
      <c r="B93">
        <v>91</v>
      </c>
    </row>
    <row r="94" spans="1:2" x14ac:dyDescent="0.3">
      <c r="A94">
        <v>942</v>
      </c>
      <c r="B94">
        <v>92</v>
      </c>
    </row>
    <row r="95" spans="1:2" x14ac:dyDescent="0.3">
      <c r="A95">
        <v>952</v>
      </c>
      <c r="B95">
        <v>93</v>
      </c>
    </row>
    <row r="96" spans="1:2" x14ac:dyDescent="0.3">
      <c r="A96">
        <v>963</v>
      </c>
      <c r="B96">
        <v>94</v>
      </c>
    </row>
    <row r="97" spans="1:2" x14ac:dyDescent="0.3">
      <c r="A97">
        <v>973</v>
      </c>
      <c r="B97">
        <v>95</v>
      </c>
    </row>
    <row r="98" spans="1:2" x14ac:dyDescent="0.3">
      <c r="A98">
        <v>983</v>
      </c>
      <c r="B98">
        <v>96</v>
      </c>
    </row>
    <row r="99" spans="1:2" x14ac:dyDescent="0.3">
      <c r="A99">
        <v>993</v>
      </c>
      <c r="B99">
        <v>97</v>
      </c>
    </row>
    <row r="100" spans="1:2" x14ac:dyDescent="0.3">
      <c r="A100">
        <v>1004</v>
      </c>
      <c r="B100">
        <v>98</v>
      </c>
    </row>
    <row r="101" spans="1:2" x14ac:dyDescent="0.3">
      <c r="A101">
        <v>1014</v>
      </c>
      <c r="B101">
        <v>99</v>
      </c>
    </row>
    <row r="102" spans="1:2" x14ac:dyDescent="0.3">
      <c r="A102">
        <v>1023</v>
      </c>
      <c r="B102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A2B0EB-048A-4388-910B-CB31A7F6A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Analog to Percentage</vt:lpstr>
      <vt:lpstr>analog_to_percentage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Tristian Apostol</dc:creator>
  <cp:lastModifiedBy>Gian Tristian Apostol</cp:lastModifiedBy>
  <dcterms:created xsi:type="dcterms:W3CDTF">2026-01-28T14:57:57Z</dcterms:created>
  <dcterms:modified xsi:type="dcterms:W3CDTF">2026-02-01T18:26:33Z</dcterms:modified>
</cp:coreProperties>
</file>
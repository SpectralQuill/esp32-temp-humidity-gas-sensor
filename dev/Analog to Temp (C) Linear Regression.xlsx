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ant\Projects\esp32-temp-humidity-gas-sensor\dev\"/>
    </mc:Choice>
  </mc:AlternateContent>
  <xr:revisionPtr revIDLastSave="0" documentId="13_ncr:1_{231ADAB8-B89A-4E59-9C25-568AEA2907C2}" xr6:coauthVersionLast="47" xr6:coauthVersionMax="47" xr10:uidLastSave="{00000000-0000-0000-0000-000000000000}"/>
  <bookViews>
    <workbookView xWindow="-108" yWindow="-108" windowWidth="23256" windowHeight="12456" xr2:uid="{5C5574AC-722E-4C0F-A9B9-7BAA6005D66E}"/>
  </bookViews>
  <sheets>
    <sheet name="Analog to Temp (C)" sheetId="1" r:id="rId1"/>
    <sheet name="analog_to_temp_c" sheetId="4" r:id="rId2"/>
  </sheets>
  <definedNames>
    <definedName name="ExternalData_1" localSheetId="1" hidden="1">analog_to_temp_c!$A$1:$B$61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" l="1"/>
  <c r="E26" i="1"/>
  <c r="E38" i="1"/>
  <c r="D9" i="1"/>
  <c r="E9" i="1" s="1"/>
  <c r="F9" i="1" s="1"/>
  <c r="D11" i="1"/>
  <c r="E11" i="1" s="1"/>
  <c r="F11" i="1" s="1"/>
  <c r="D14" i="1"/>
  <c r="D15" i="1"/>
  <c r="E15" i="1" s="1"/>
  <c r="F15" i="1" s="1"/>
  <c r="D16" i="1"/>
  <c r="E16" i="1" s="1"/>
  <c r="F16" i="1" s="1"/>
  <c r="D21" i="1"/>
  <c r="E21" i="1" s="1"/>
  <c r="F21" i="1" s="1"/>
  <c r="D23" i="1"/>
  <c r="E23" i="1" s="1"/>
  <c r="F23" i="1" s="1"/>
  <c r="D26" i="1"/>
  <c r="D27" i="1"/>
  <c r="E27" i="1" s="1"/>
  <c r="F27" i="1" s="1"/>
  <c r="D28" i="1"/>
  <c r="E28" i="1" s="1"/>
  <c r="F28" i="1" s="1"/>
  <c r="D33" i="1"/>
  <c r="E33" i="1" s="1"/>
  <c r="F33" i="1" s="1"/>
  <c r="D35" i="1"/>
  <c r="E35" i="1" s="1"/>
  <c r="F35" i="1" s="1"/>
  <c r="D38" i="1"/>
  <c r="D39" i="1"/>
  <c r="E39" i="1" s="1"/>
  <c r="F39" i="1" s="1"/>
  <c r="D40" i="1"/>
  <c r="E40" i="1" s="1"/>
  <c r="F40" i="1" s="1"/>
  <c r="D45" i="1"/>
  <c r="E45" i="1" s="1"/>
  <c r="F45" i="1" s="1"/>
  <c r="D47" i="1"/>
  <c r="E47" i="1" s="1"/>
  <c r="F47" i="1" s="1"/>
  <c r="D51" i="1"/>
  <c r="E51" i="1" s="1"/>
  <c r="F51" i="1" s="1"/>
  <c r="D52" i="1"/>
  <c r="E52" i="1" s="1"/>
  <c r="F52" i="1" s="1"/>
  <c r="D53" i="1"/>
  <c r="E53" i="1" s="1"/>
  <c r="F53" i="1" s="1"/>
  <c r="D58" i="1"/>
  <c r="E58" i="1" s="1"/>
  <c r="F58" i="1" s="1"/>
  <c r="D3" i="1"/>
  <c r="E3" i="1" s="1"/>
  <c r="F3" i="1" s="1"/>
  <c r="D4" i="1"/>
  <c r="E4" i="1" s="1"/>
  <c r="F4" i="1" s="1"/>
  <c r="D5" i="1"/>
  <c r="E5" i="1" s="1"/>
  <c r="F5" i="1" s="1"/>
  <c r="D6" i="1"/>
  <c r="E6" i="1" s="1"/>
  <c r="F6" i="1" s="1"/>
  <c r="A3" i="1"/>
  <c r="B3" i="1"/>
  <c r="A4" i="1"/>
  <c r="B4" i="1"/>
  <c r="A5" i="1"/>
  <c r="B5" i="1"/>
  <c r="A6" i="1"/>
  <c r="B6" i="1"/>
  <c r="A7" i="1"/>
  <c r="C7" i="1" s="1"/>
  <c r="B7" i="1"/>
  <c r="A8" i="1"/>
  <c r="D8" i="1" s="1"/>
  <c r="E8" i="1" s="1"/>
  <c r="F8" i="1" s="1"/>
  <c r="B8" i="1"/>
  <c r="A9" i="1"/>
  <c r="B9" i="1"/>
  <c r="A10" i="1"/>
  <c r="B10" i="1"/>
  <c r="A11" i="1"/>
  <c r="B11" i="1"/>
  <c r="A12" i="1"/>
  <c r="D12" i="1" s="1"/>
  <c r="E12" i="1" s="1"/>
  <c r="F12" i="1" s="1"/>
  <c r="B12" i="1"/>
  <c r="C12" i="1" s="1"/>
  <c r="A13" i="1"/>
  <c r="D13" i="1" s="1"/>
  <c r="E13" i="1" s="1"/>
  <c r="F13" i="1" s="1"/>
  <c r="B13" i="1"/>
  <c r="A14" i="1"/>
  <c r="B14" i="1"/>
  <c r="A15" i="1"/>
  <c r="B15" i="1"/>
  <c r="A16" i="1"/>
  <c r="B16" i="1"/>
  <c r="A17" i="1"/>
  <c r="D17" i="1" s="1"/>
  <c r="E17" i="1" s="1"/>
  <c r="F17" i="1" s="1"/>
  <c r="B17" i="1"/>
  <c r="C17" i="1" s="1"/>
  <c r="A18" i="1"/>
  <c r="D18" i="1" s="1"/>
  <c r="E18" i="1" s="1"/>
  <c r="F18" i="1" s="1"/>
  <c r="B18" i="1"/>
  <c r="A19" i="1"/>
  <c r="C19" i="1" s="1"/>
  <c r="B19" i="1"/>
  <c r="A20" i="1"/>
  <c r="D20" i="1" s="1"/>
  <c r="E20" i="1" s="1"/>
  <c r="F20" i="1" s="1"/>
  <c r="B20" i="1"/>
  <c r="A21" i="1"/>
  <c r="B21" i="1"/>
  <c r="A22" i="1"/>
  <c r="D22" i="1" s="1"/>
  <c r="E22" i="1" s="1"/>
  <c r="F22" i="1" s="1"/>
  <c r="B22" i="1"/>
  <c r="C22" i="1" s="1"/>
  <c r="A23" i="1"/>
  <c r="B23" i="1"/>
  <c r="A24" i="1"/>
  <c r="D24" i="1" s="1"/>
  <c r="E24" i="1" s="1"/>
  <c r="F24" i="1" s="1"/>
  <c r="B24" i="1"/>
  <c r="A25" i="1"/>
  <c r="D25" i="1" s="1"/>
  <c r="E25" i="1" s="1"/>
  <c r="F25" i="1" s="1"/>
  <c r="B25" i="1"/>
  <c r="A26" i="1"/>
  <c r="B26" i="1"/>
  <c r="A27" i="1"/>
  <c r="B27" i="1"/>
  <c r="A28" i="1"/>
  <c r="B28" i="1"/>
  <c r="A29" i="1"/>
  <c r="D29" i="1" s="1"/>
  <c r="E29" i="1" s="1"/>
  <c r="F29" i="1" s="1"/>
  <c r="B29" i="1"/>
  <c r="A30" i="1"/>
  <c r="D30" i="1" s="1"/>
  <c r="E30" i="1" s="1"/>
  <c r="F30" i="1" s="1"/>
  <c r="B30" i="1"/>
  <c r="A31" i="1"/>
  <c r="D31" i="1" s="1"/>
  <c r="E31" i="1" s="1"/>
  <c r="F31" i="1" s="1"/>
  <c r="B31" i="1"/>
  <c r="A32" i="1"/>
  <c r="D32" i="1" s="1"/>
  <c r="E32" i="1" s="1"/>
  <c r="F32" i="1" s="1"/>
  <c r="B32" i="1"/>
  <c r="A33" i="1"/>
  <c r="B33" i="1"/>
  <c r="A34" i="1"/>
  <c r="B34" i="1"/>
  <c r="A35" i="1"/>
  <c r="B35" i="1"/>
  <c r="A36" i="1"/>
  <c r="D36" i="1" s="1"/>
  <c r="E36" i="1" s="1"/>
  <c r="F36" i="1" s="1"/>
  <c r="B36" i="1"/>
  <c r="C36" i="1" s="1"/>
  <c r="A37" i="1"/>
  <c r="C37" i="1" s="1"/>
  <c r="B37" i="1"/>
  <c r="A38" i="1"/>
  <c r="B38" i="1"/>
  <c r="A39" i="1"/>
  <c r="B39" i="1"/>
  <c r="A40" i="1"/>
  <c r="B40" i="1"/>
  <c r="A41" i="1"/>
  <c r="D41" i="1" s="1"/>
  <c r="E41" i="1" s="1"/>
  <c r="F41" i="1" s="1"/>
  <c r="B41" i="1"/>
  <c r="C41" i="1" s="1"/>
  <c r="A42" i="1"/>
  <c r="D42" i="1" s="1"/>
  <c r="E42" i="1" s="1"/>
  <c r="F42" i="1" s="1"/>
  <c r="B42" i="1"/>
  <c r="A43" i="1"/>
  <c r="D43" i="1" s="1"/>
  <c r="E43" i="1" s="1"/>
  <c r="F43" i="1" s="1"/>
  <c r="B43" i="1"/>
  <c r="A44" i="1"/>
  <c r="D44" i="1" s="1"/>
  <c r="E44" i="1" s="1"/>
  <c r="F44" i="1" s="1"/>
  <c r="B44" i="1"/>
  <c r="A45" i="1"/>
  <c r="B45" i="1"/>
  <c r="A46" i="1"/>
  <c r="B46" i="1"/>
  <c r="A47" i="1"/>
  <c r="B47" i="1"/>
  <c r="A48" i="1"/>
  <c r="D48" i="1" s="1"/>
  <c r="E48" i="1" s="1"/>
  <c r="F48" i="1" s="1"/>
  <c r="B48" i="1"/>
  <c r="A49" i="1"/>
  <c r="D49" i="1" s="1"/>
  <c r="E49" i="1" s="1"/>
  <c r="F49" i="1" s="1"/>
  <c r="B49" i="1"/>
  <c r="A50" i="1"/>
  <c r="D50" i="1" s="1"/>
  <c r="E50" i="1" s="1"/>
  <c r="F50" i="1" s="1"/>
  <c r="B50" i="1"/>
  <c r="A51" i="1"/>
  <c r="B51" i="1"/>
  <c r="A52" i="1"/>
  <c r="B52" i="1"/>
  <c r="A53" i="1"/>
  <c r="B53" i="1"/>
  <c r="C53" i="1" s="1"/>
  <c r="A54" i="1"/>
  <c r="D54" i="1" s="1"/>
  <c r="E54" i="1" s="1"/>
  <c r="F54" i="1" s="1"/>
  <c r="B54" i="1"/>
  <c r="A55" i="1"/>
  <c r="D55" i="1" s="1"/>
  <c r="E55" i="1" s="1"/>
  <c r="F55" i="1" s="1"/>
  <c r="B55" i="1"/>
  <c r="A56" i="1"/>
  <c r="D56" i="1" s="1"/>
  <c r="E56" i="1" s="1"/>
  <c r="F56" i="1" s="1"/>
  <c r="B56" i="1"/>
  <c r="A57" i="1"/>
  <c r="D57" i="1" s="1"/>
  <c r="E57" i="1" s="1"/>
  <c r="F57" i="1" s="1"/>
  <c r="B57" i="1"/>
  <c r="A58" i="1"/>
  <c r="B58" i="1"/>
  <c r="A59" i="1"/>
  <c r="D59" i="1" s="1"/>
  <c r="E59" i="1" s="1"/>
  <c r="F59" i="1" s="1"/>
  <c r="B59" i="1"/>
  <c r="A60" i="1"/>
  <c r="D60" i="1" s="1"/>
  <c r="E60" i="1" s="1"/>
  <c r="F60" i="1" s="1"/>
  <c r="B60" i="1"/>
  <c r="A61" i="1"/>
  <c r="C61" i="1" s="1"/>
  <c r="B61" i="1"/>
  <c r="B2" i="1"/>
  <c r="A2" i="1"/>
  <c r="D2" i="1" s="1"/>
  <c r="E2" i="1" s="1"/>
  <c r="F2" i="1" s="1"/>
  <c r="C28" i="1"/>
  <c r="C52" i="1"/>
  <c r="C58" i="1"/>
  <c r="I6" i="1"/>
  <c r="F14" i="1" l="1"/>
  <c r="D37" i="1"/>
  <c r="E37" i="1" s="1"/>
  <c r="F37" i="1" s="1"/>
  <c r="D61" i="1"/>
  <c r="E61" i="1" s="1"/>
  <c r="F61" i="1" s="1"/>
  <c r="F38" i="1"/>
  <c r="C59" i="1"/>
  <c r="C46" i="1"/>
  <c r="C40" i="1"/>
  <c r="C34" i="1"/>
  <c r="C16" i="1"/>
  <c r="C10" i="1"/>
  <c r="C4" i="1"/>
  <c r="D46" i="1"/>
  <c r="E46" i="1" s="1"/>
  <c r="F46" i="1" s="1"/>
  <c r="D34" i="1"/>
  <c r="E34" i="1" s="1"/>
  <c r="F34" i="1" s="1"/>
  <c r="D10" i="1"/>
  <c r="E10" i="1" s="1"/>
  <c r="F10" i="1" s="1"/>
  <c r="D19" i="1"/>
  <c r="E19" i="1" s="1"/>
  <c r="F19" i="1" s="1"/>
  <c r="F26" i="1"/>
  <c r="C60" i="1"/>
  <c r="C18" i="1"/>
  <c r="D7" i="1"/>
  <c r="E7" i="1" s="1"/>
  <c r="F7" i="1" s="1"/>
  <c r="C11" i="1"/>
  <c r="C3" i="1"/>
  <c r="C38" i="1"/>
  <c r="C56" i="1"/>
  <c r="C50" i="1"/>
  <c r="C45" i="1"/>
  <c r="C32" i="1"/>
  <c r="C26" i="1"/>
  <c r="C21" i="1"/>
  <c r="C14" i="1"/>
  <c r="C8" i="1"/>
  <c r="C6" i="1"/>
  <c r="C55" i="1"/>
  <c r="C43" i="1"/>
  <c r="C31" i="1"/>
  <c r="C30" i="1"/>
  <c r="C35" i="1"/>
  <c r="C23" i="1"/>
  <c r="C49" i="1"/>
  <c r="C25" i="1"/>
  <c r="C13" i="1"/>
  <c r="C47" i="1"/>
  <c r="C48" i="1"/>
  <c r="C24" i="1"/>
  <c r="C29" i="1"/>
  <c r="C5" i="1"/>
  <c r="C54" i="1"/>
  <c r="C42" i="1"/>
  <c r="C57" i="1"/>
  <c r="C9" i="1"/>
  <c r="C20" i="1"/>
  <c r="C33" i="1"/>
  <c r="C44" i="1"/>
  <c r="C51" i="1"/>
  <c r="C39" i="1"/>
  <c r="C27" i="1"/>
  <c r="C15" i="1"/>
  <c r="G57" i="1" l="1"/>
  <c r="G21" i="1" l="1"/>
  <c r="G36" i="1"/>
  <c r="G18" i="1"/>
  <c r="G28" i="1"/>
  <c r="G42" i="1"/>
  <c r="G2" i="1"/>
  <c r="G61" i="1"/>
  <c r="G56" i="1"/>
  <c r="G37" i="1"/>
  <c r="G52" i="1"/>
  <c r="G20" i="1"/>
  <c r="G9" i="1"/>
  <c r="G14" i="1"/>
  <c r="G54" i="1"/>
  <c r="G40" i="1"/>
  <c r="G41" i="1"/>
  <c r="G43" i="1"/>
  <c r="G3" i="1"/>
  <c r="G26" i="1"/>
  <c r="G35" i="1"/>
  <c r="G6" i="1"/>
  <c r="G53" i="1"/>
  <c r="G32" i="1"/>
  <c r="G25" i="1"/>
  <c r="G11" i="1"/>
  <c r="G59" i="1"/>
  <c r="G60" i="1"/>
  <c r="G45" i="1"/>
  <c r="G55" i="1"/>
  <c r="G44" i="1"/>
  <c r="G7" i="1"/>
  <c r="G8" i="1"/>
  <c r="G31" i="1"/>
  <c r="G48" i="1"/>
  <c r="G58" i="1"/>
  <c r="G50" i="1"/>
  <c r="G38" i="1"/>
  <c r="G49" i="1"/>
  <c r="G4" i="1"/>
  <c r="G22" i="1"/>
  <c r="G39" i="1"/>
  <c r="G12" i="1"/>
  <c r="G19" i="1"/>
  <c r="G10" i="1"/>
  <c r="G27" i="1"/>
  <c r="G33" i="1"/>
  <c r="G46" i="1"/>
  <c r="G29" i="1"/>
  <c r="G17" i="1"/>
  <c r="G34" i="1"/>
  <c r="G5" i="1"/>
  <c r="G16" i="1"/>
  <c r="G23" i="1"/>
  <c r="G15" i="1"/>
  <c r="G51" i="1"/>
  <c r="G47" i="1"/>
  <c r="G13" i="1"/>
  <c r="G24" i="1"/>
  <c r="G30" i="1"/>
  <c r="I9" i="1" l="1"/>
  <c r="I8" i="1"/>
  <c r="I12" i="1" l="1"/>
  <c r="I1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734A1C-7CCD-430F-B1DA-52D65A849121}" keepAlive="1" name="Query - analog_to_temp_c" description="Connection to the 'analog_to_temp_c' query in the workbook." type="5" refreshedVersion="8" background="1" saveData="1">
    <dbPr connection="Provider=Microsoft.Mashup.OleDb.1;Data Source=$Workbook$;Location=analog_to_temp_c;Extended Properties=&quot;&quot;" command="SELECT * FROM [analog_to_temp_c]"/>
  </connection>
</connections>
</file>

<file path=xl/sharedStrings.xml><?xml version="1.0" encoding="utf-8"?>
<sst xmlns="http://schemas.openxmlformats.org/spreadsheetml/2006/main" count="21" uniqueCount="21">
  <si>
    <t>Correct</t>
  </si>
  <si>
    <t>Analysis</t>
  </si>
  <si>
    <t>Rate of Change</t>
  </si>
  <si>
    <t>Rounded (0, 0.5, 1)</t>
  </si>
  <si>
    <t>Correct Count</t>
  </si>
  <si>
    <t>Incorrect Count</t>
  </si>
  <si>
    <t>Formula for Analog Read to Temperature ( C )</t>
  </si>
  <si>
    <t>Inputs:</t>
  </si>
  <si>
    <t xml:space="preserve"> analogRead, increment</t>
  </si>
  <si>
    <t>Increment</t>
  </si>
  <si>
    <t>Scale</t>
  </si>
  <si>
    <t>Analog</t>
  </si>
  <si>
    <t>Temp_C</t>
  </si>
  <si>
    <t>Correct Percentage</t>
  </si>
  <si>
    <t>Incorrect Percentage</t>
  </si>
  <si>
    <t>Analog Read</t>
  </si>
  <si>
    <t>Expected Output</t>
  </si>
  <si>
    <t>Product</t>
  </si>
  <si>
    <t>Offset</t>
  </si>
  <si>
    <t>Slope</t>
  </si>
  <si>
    <t>Intercept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</si>
</sst>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theme="1"/>
      <name val="Cambria"/>
      <family val="1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0" fontId="3" fillId="0" borderId="0" xfId="0" applyFont="1"/>
    <xf numFmtId="0" fontId="4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"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4</xdr:row>
      <xdr:rowOff>0</xdr:rowOff>
    </xdr:from>
    <xdr:to>
      <xdr:col>14</xdr:col>
      <xdr:colOff>114300</xdr:colOff>
      <xdr:row>4</xdr:row>
      <xdr:rowOff>175260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30B4EC-0EDB-41E0-BB38-3902CA0BB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48700" y="723900"/>
          <a:ext cx="25527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6</xdr:row>
      <xdr:rowOff>0</xdr:rowOff>
    </xdr:from>
    <xdr:to>
      <xdr:col>11</xdr:col>
      <xdr:colOff>548640</xdr:colOff>
      <xdr:row>7</xdr:row>
      <xdr:rowOff>144780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24F083-CE85-4DAC-B053-730785DFB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48700" y="1089660"/>
          <a:ext cx="1158240" cy="327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9</xdr:row>
      <xdr:rowOff>0</xdr:rowOff>
    </xdr:from>
    <xdr:to>
      <xdr:col>15</xdr:col>
      <xdr:colOff>472440</xdr:colOff>
      <xdr:row>10</xdr:row>
      <xdr:rowOff>152400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E7BB1B3-03BA-4FFB-B573-CB5CECF53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48700" y="1638300"/>
          <a:ext cx="3520440" cy="335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470324E-E237-4C93-9C70-F72DFF42CD69}" autoFormatId="16" applyNumberFormats="0" applyBorderFormats="0" applyFontFormats="0" applyPatternFormats="0" applyAlignmentFormats="0" applyWidthHeightFormats="0">
  <queryTableRefresh nextId="3">
    <queryTableFields count="2">
      <queryTableField id="1" name="Analog" tableColumnId="1"/>
      <queryTableField id="2" name="Temp_C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C08A69-804D-4E1A-AA17-51B5090B3A5D}" name="analog_to_temp_c" displayName="analog_to_temp_c" ref="A1:B61" tableType="queryTable" totalsRowShown="0">
  <autoFilter ref="A1:B61" xr:uid="{20C08A69-804D-4E1A-AA17-51B5090B3A5D}"/>
  <tableColumns count="2">
    <tableColumn id="1" xr3:uid="{79146DEB-9FED-40BF-A498-BCB83E27CB11}" uniqueName="1" name="Analog" queryTableFieldId="1"/>
    <tableColumn id="2" xr3:uid="{ABB0F5D5-ECC6-4249-8317-0324E6D3E4DC}" uniqueName="2" name="Temp_C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35471-26BD-4211-B0E9-908EF189B709}">
  <dimension ref="A1:Q61"/>
  <sheetViews>
    <sheetView tabSelected="1" zoomScaleNormal="100" workbookViewId="0">
      <pane ySplit="1" topLeftCell="A2" activePane="bottomLeft" state="frozen"/>
      <selection pane="bottomLeft" activeCell="H6" sqref="H6:I6"/>
    </sheetView>
  </sheetViews>
  <sheetFormatPr defaultRowHeight="14.4" x14ac:dyDescent="0.3"/>
  <cols>
    <col min="1" max="1" width="13.6640625" customWidth="1"/>
    <col min="2" max="2" width="17.44140625" customWidth="1"/>
    <col min="3" max="3" width="13.21875" style="4" customWidth="1"/>
    <col min="6" max="6" width="15.5546875" customWidth="1"/>
    <col min="7" max="7" width="8.88671875" style="4"/>
    <col min="8" max="8" width="20.6640625" customWidth="1"/>
    <col min="9" max="9" width="12.21875" style="4" customWidth="1"/>
    <col min="10" max="10" width="6.6640625" customWidth="1"/>
    <col min="17" max="17" width="8.88671875" style="4"/>
  </cols>
  <sheetData>
    <row r="1" spans="1:17" s="2" customFormat="1" ht="13.8" x14ac:dyDescent="0.3">
      <c r="A1" s="2" t="s">
        <v>15</v>
      </c>
      <c r="B1" s="2" t="s">
        <v>16</v>
      </c>
      <c r="C1" s="3" t="s">
        <v>2</v>
      </c>
      <c r="D1" s="2" t="s">
        <v>17</v>
      </c>
      <c r="E1" s="2" t="s">
        <v>18</v>
      </c>
      <c r="F1" s="2" t="s">
        <v>3</v>
      </c>
      <c r="G1" s="3" t="s">
        <v>0</v>
      </c>
      <c r="H1" s="8" t="s">
        <v>1</v>
      </c>
      <c r="I1" s="9"/>
      <c r="J1" s="8" t="s">
        <v>6</v>
      </c>
      <c r="K1" s="10"/>
      <c r="L1" s="10"/>
      <c r="M1" s="10"/>
      <c r="N1" s="10"/>
      <c r="O1" s="10"/>
      <c r="P1" s="10"/>
      <c r="Q1" s="9"/>
    </row>
    <row r="2" spans="1:17" x14ac:dyDescent="0.3">
      <c r="A2">
        <f>analog_to_temp_c[[#This Row],[Analog]]</f>
        <v>0</v>
      </c>
      <c r="B2">
        <f>analog_to_temp_c[[#This Row],[Temp_C]]</f>
        <v>0</v>
      </c>
      <c r="D2">
        <f>A2*$I$3</f>
        <v>0</v>
      </c>
      <c r="E2">
        <f>D2+$I$4</f>
        <v>-0.100672</v>
      </c>
      <c r="F2">
        <f>FLOOR(E2,1)+ROUND($I$6*(E2-FLOOR(E2,1)),0)/$I$6</f>
        <v>0</v>
      </c>
      <c r="G2" s="4" t="b">
        <f t="shared" ref="G2:G33" si="0">$B2=F2</f>
        <v>1</v>
      </c>
      <c r="H2" t="s">
        <v>9</v>
      </c>
      <c r="I2" s="7">
        <v>0.5</v>
      </c>
    </row>
    <row r="3" spans="1:17" x14ac:dyDescent="0.3">
      <c r="A3">
        <f>analog_to_temp_c[[#This Row],[Analog]]</f>
        <v>3</v>
      </c>
      <c r="B3">
        <f>analog_to_temp_c[[#This Row],[Temp_C]]</f>
        <v>1</v>
      </c>
      <c r="C3" s="4">
        <f t="shared" ref="C3:C34" si="1">(A3-A2)/(B3-B2)</f>
        <v>3</v>
      </c>
      <c r="D3">
        <f t="shared" ref="D3:D61" si="2">A3*$I$3</f>
        <v>0.96409199999999995</v>
      </c>
      <c r="E3">
        <f t="shared" ref="E3:E61" si="3">D3+$I$4</f>
        <v>0.86341999999999997</v>
      </c>
      <c r="F3">
        <f t="shared" ref="F3:F61" si="4">FLOOR(E3,1)+ROUND($I$6*(E3-FLOOR(E3,1)),0)/$I$6</f>
        <v>1</v>
      </c>
      <c r="G3" s="4" t="b">
        <f t="shared" si="0"/>
        <v>1</v>
      </c>
      <c r="H3" t="s">
        <v>19</v>
      </c>
      <c r="I3" s="4">
        <v>0.32136399999999998</v>
      </c>
      <c r="K3" s="1" t="s">
        <v>7</v>
      </c>
      <c r="L3" t="s">
        <v>8</v>
      </c>
    </row>
    <row r="4" spans="1:17" x14ac:dyDescent="0.3">
      <c r="A4">
        <f>analog_to_temp_c[[#This Row],[Analog]]</f>
        <v>7</v>
      </c>
      <c r="B4">
        <f>analog_to_temp_c[[#This Row],[Temp_C]]</f>
        <v>2</v>
      </c>
      <c r="C4" s="4">
        <f t="shared" si="1"/>
        <v>4</v>
      </c>
      <c r="D4">
        <f t="shared" si="2"/>
        <v>2.2495479999999999</v>
      </c>
      <c r="E4">
        <f t="shared" si="3"/>
        <v>2.148876</v>
      </c>
      <c r="F4">
        <f t="shared" si="4"/>
        <v>2</v>
      </c>
      <c r="G4" s="4" t="b">
        <f t="shared" si="0"/>
        <v>1</v>
      </c>
      <c r="H4" t="s">
        <v>20</v>
      </c>
      <c r="I4" s="4">
        <v>-0.100672</v>
      </c>
    </row>
    <row r="5" spans="1:17" x14ac:dyDescent="0.3">
      <c r="A5">
        <f>analog_to_temp_c[[#This Row],[Analog]]</f>
        <v>10</v>
      </c>
      <c r="B5">
        <f>analog_to_temp_c[[#This Row],[Temp_C]]</f>
        <v>3</v>
      </c>
      <c r="C5" s="4">
        <f t="shared" si="1"/>
        <v>3</v>
      </c>
      <c r="D5">
        <f t="shared" si="2"/>
        <v>3.2136399999999998</v>
      </c>
      <c r="E5">
        <f t="shared" si="3"/>
        <v>3.112968</v>
      </c>
      <c r="F5">
        <f t="shared" si="4"/>
        <v>3</v>
      </c>
      <c r="G5" s="4" t="b">
        <f t="shared" si="0"/>
        <v>1</v>
      </c>
      <c r="K5" s="6"/>
    </row>
    <row r="6" spans="1:17" x14ac:dyDescent="0.3">
      <c r="A6">
        <f>analog_to_temp_c[[#This Row],[Analog]]</f>
        <v>13</v>
      </c>
      <c r="B6">
        <f>analog_to_temp_c[[#This Row],[Temp_C]]</f>
        <v>4</v>
      </c>
      <c r="C6" s="4">
        <f t="shared" si="1"/>
        <v>3</v>
      </c>
      <c r="D6">
        <f t="shared" si="2"/>
        <v>4.1777319999999998</v>
      </c>
      <c r="E6">
        <f t="shared" si="3"/>
        <v>4.0770599999999995</v>
      </c>
      <c r="F6">
        <f t="shared" si="4"/>
        <v>4</v>
      </c>
      <c r="G6" s="4" t="b">
        <f t="shared" si="0"/>
        <v>1</v>
      </c>
      <c r="H6" t="s">
        <v>10</v>
      </c>
      <c r="I6" s="4">
        <f>1/I2</f>
        <v>2</v>
      </c>
    </row>
    <row r="7" spans="1:17" x14ac:dyDescent="0.3">
      <c r="A7">
        <f>analog_to_temp_c[[#This Row],[Analog]]</f>
        <v>16</v>
      </c>
      <c r="B7">
        <f>analog_to_temp_c[[#This Row],[Temp_C]]</f>
        <v>5</v>
      </c>
      <c r="C7" s="4">
        <f t="shared" si="1"/>
        <v>3</v>
      </c>
      <c r="D7">
        <f t="shared" si="2"/>
        <v>5.1418239999999997</v>
      </c>
      <c r="E7">
        <f t="shared" si="3"/>
        <v>5.0411519999999994</v>
      </c>
      <c r="F7">
        <f t="shared" si="4"/>
        <v>5</v>
      </c>
      <c r="G7" s="4" t="b">
        <f t="shared" si="0"/>
        <v>1</v>
      </c>
    </row>
    <row r="8" spans="1:17" x14ac:dyDescent="0.3">
      <c r="A8">
        <f>analog_to_temp_c[[#This Row],[Analog]]</f>
        <v>19</v>
      </c>
      <c r="B8">
        <f>analog_to_temp_c[[#This Row],[Temp_C]]</f>
        <v>6</v>
      </c>
      <c r="C8" s="4">
        <f t="shared" si="1"/>
        <v>3</v>
      </c>
      <c r="D8">
        <f t="shared" si="2"/>
        <v>6.1059159999999997</v>
      </c>
      <c r="E8">
        <f t="shared" si="3"/>
        <v>6.0052439999999994</v>
      </c>
      <c r="F8">
        <f t="shared" si="4"/>
        <v>6</v>
      </c>
      <c r="G8" s="4" t="b">
        <f t="shared" si="0"/>
        <v>1</v>
      </c>
      <c r="H8" t="s">
        <v>4</v>
      </c>
      <c r="I8" s="4">
        <f>COUNTIF(G:G,TRUE)</f>
        <v>60</v>
      </c>
    </row>
    <row r="9" spans="1:17" x14ac:dyDescent="0.3">
      <c r="A9">
        <f>analog_to_temp_c[[#This Row],[Analog]]</f>
        <v>22</v>
      </c>
      <c r="B9">
        <f>analog_to_temp_c[[#This Row],[Temp_C]]</f>
        <v>7</v>
      </c>
      <c r="C9" s="4">
        <f t="shared" si="1"/>
        <v>3</v>
      </c>
      <c r="D9">
        <f t="shared" si="2"/>
        <v>7.0700079999999996</v>
      </c>
      <c r="E9">
        <f t="shared" si="3"/>
        <v>6.9693359999999993</v>
      </c>
      <c r="F9">
        <f t="shared" si="4"/>
        <v>7</v>
      </c>
      <c r="G9" s="4" t="b">
        <f t="shared" si="0"/>
        <v>1</v>
      </c>
      <c r="H9" t="s">
        <v>5</v>
      </c>
      <c r="I9" s="4">
        <f>COUNTIF(G:G,FALSE)</f>
        <v>0</v>
      </c>
    </row>
    <row r="10" spans="1:17" x14ac:dyDescent="0.3">
      <c r="A10">
        <f>analog_to_temp_c[[#This Row],[Analog]]</f>
        <v>25</v>
      </c>
      <c r="B10">
        <f>analog_to_temp_c[[#This Row],[Temp_C]]</f>
        <v>8</v>
      </c>
      <c r="C10" s="4">
        <f t="shared" si="1"/>
        <v>3</v>
      </c>
      <c r="D10">
        <f t="shared" si="2"/>
        <v>8.0340999999999987</v>
      </c>
      <c r="E10">
        <f t="shared" si="3"/>
        <v>7.9334279999999984</v>
      </c>
      <c r="F10">
        <f t="shared" si="4"/>
        <v>8</v>
      </c>
      <c r="G10" s="4" t="b">
        <f t="shared" si="0"/>
        <v>1</v>
      </c>
    </row>
    <row r="11" spans="1:17" x14ac:dyDescent="0.3">
      <c r="A11">
        <f>analog_to_temp_c[[#This Row],[Analog]]</f>
        <v>28</v>
      </c>
      <c r="B11">
        <f>analog_to_temp_c[[#This Row],[Temp_C]]</f>
        <v>9</v>
      </c>
      <c r="C11" s="4">
        <f t="shared" si="1"/>
        <v>3</v>
      </c>
      <c r="D11">
        <f t="shared" si="2"/>
        <v>8.9981919999999995</v>
      </c>
      <c r="E11">
        <f t="shared" si="3"/>
        <v>8.8975200000000001</v>
      </c>
      <c r="F11">
        <f t="shared" si="4"/>
        <v>9</v>
      </c>
      <c r="G11" s="4" t="b">
        <f t="shared" si="0"/>
        <v>1</v>
      </c>
      <c r="H11" t="s">
        <v>13</v>
      </c>
      <c r="I11" s="5" t="str">
        <f>ROUND(I8/(I8+I9)*100,2)&amp;"%"</f>
        <v>100%</v>
      </c>
    </row>
    <row r="12" spans="1:17" x14ac:dyDescent="0.3">
      <c r="A12">
        <f>analog_to_temp_c[[#This Row],[Analog]]</f>
        <v>31</v>
      </c>
      <c r="B12">
        <f>analog_to_temp_c[[#This Row],[Temp_C]]</f>
        <v>10</v>
      </c>
      <c r="C12" s="4">
        <f t="shared" si="1"/>
        <v>3</v>
      </c>
      <c r="D12">
        <f t="shared" si="2"/>
        <v>9.9622840000000004</v>
      </c>
      <c r="E12">
        <f t="shared" si="3"/>
        <v>9.8616120000000009</v>
      </c>
      <c r="F12">
        <f t="shared" si="4"/>
        <v>10</v>
      </c>
      <c r="G12" s="4" t="b">
        <f t="shared" si="0"/>
        <v>1</v>
      </c>
      <c r="H12" t="s">
        <v>14</v>
      </c>
      <c r="I12" s="5" t="str">
        <f>ROUND(100-I8/(I8+I9)*100,2)&amp;"%"</f>
        <v>0%</v>
      </c>
    </row>
    <row r="13" spans="1:17" x14ac:dyDescent="0.3">
      <c r="A13">
        <f>analog_to_temp_c[[#This Row],[Analog]]</f>
        <v>35</v>
      </c>
      <c r="B13">
        <f>analog_to_temp_c[[#This Row],[Temp_C]]</f>
        <v>11</v>
      </c>
      <c r="C13" s="4">
        <f t="shared" si="1"/>
        <v>4</v>
      </c>
      <c r="D13">
        <f t="shared" si="2"/>
        <v>11.24774</v>
      </c>
      <c r="E13">
        <f t="shared" si="3"/>
        <v>11.147068000000001</v>
      </c>
      <c r="F13">
        <f t="shared" si="4"/>
        <v>11</v>
      </c>
      <c r="G13" s="4" t="b">
        <f t="shared" si="0"/>
        <v>1</v>
      </c>
    </row>
    <row r="14" spans="1:17" x14ac:dyDescent="0.3">
      <c r="A14">
        <f>analog_to_temp_c[[#This Row],[Analog]]</f>
        <v>38</v>
      </c>
      <c r="B14">
        <f>analog_to_temp_c[[#This Row],[Temp_C]]</f>
        <v>12</v>
      </c>
      <c r="C14" s="4">
        <f t="shared" si="1"/>
        <v>3</v>
      </c>
      <c r="D14">
        <f t="shared" si="2"/>
        <v>12.211831999999999</v>
      </c>
      <c r="E14">
        <f t="shared" si="3"/>
        <v>12.11116</v>
      </c>
      <c r="F14">
        <f t="shared" si="4"/>
        <v>12</v>
      </c>
      <c r="G14" s="4" t="b">
        <f t="shared" si="0"/>
        <v>1</v>
      </c>
    </row>
    <row r="15" spans="1:17" x14ac:dyDescent="0.3">
      <c r="A15">
        <f>analog_to_temp_c[[#This Row],[Analog]]</f>
        <v>41</v>
      </c>
      <c r="B15">
        <f>analog_to_temp_c[[#This Row],[Temp_C]]</f>
        <v>13</v>
      </c>
      <c r="C15" s="4">
        <f t="shared" si="1"/>
        <v>3</v>
      </c>
      <c r="D15">
        <f t="shared" si="2"/>
        <v>13.175923999999998</v>
      </c>
      <c r="E15">
        <f t="shared" si="3"/>
        <v>13.075251999999999</v>
      </c>
      <c r="F15">
        <f t="shared" si="4"/>
        <v>13</v>
      </c>
      <c r="G15" s="4" t="b">
        <f t="shared" si="0"/>
        <v>1</v>
      </c>
    </row>
    <row r="16" spans="1:17" x14ac:dyDescent="0.3">
      <c r="A16">
        <f>analog_to_temp_c[[#This Row],[Analog]]</f>
        <v>44</v>
      </c>
      <c r="B16">
        <f>analog_to_temp_c[[#This Row],[Temp_C]]</f>
        <v>14</v>
      </c>
      <c r="C16" s="4">
        <f t="shared" si="1"/>
        <v>3</v>
      </c>
      <c r="D16">
        <f t="shared" si="2"/>
        <v>14.140015999999999</v>
      </c>
      <c r="E16">
        <f t="shared" si="3"/>
        <v>14.039344</v>
      </c>
      <c r="F16">
        <f t="shared" si="4"/>
        <v>14</v>
      </c>
      <c r="G16" s="4" t="b">
        <f t="shared" si="0"/>
        <v>1</v>
      </c>
    </row>
    <row r="17" spans="1:7" x14ac:dyDescent="0.3">
      <c r="A17">
        <f>analog_to_temp_c[[#This Row],[Analog]]</f>
        <v>47</v>
      </c>
      <c r="B17">
        <f>analog_to_temp_c[[#This Row],[Temp_C]]</f>
        <v>15</v>
      </c>
      <c r="C17" s="4">
        <f t="shared" si="1"/>
        <v>3</v>
      </c>
      <c r="D17">
        <f t="shared" si="2"/>
        <v>15.104108</v>
      </c>
      <c r="E17">
        <f t="shared" si="3"/>
        <v>15.003436000000001</v>
      </c>
      <c r="F17">
        <f t="shared" si="4"/>
        <v>15</v>
      </c>
      <c r="G17" s="4" t="b">
        <f t="shared" si="0"/>
        <v>1</v>
      </c>
    </row>
    <row r="18" spans="1:7" x14ac:dyDescent="0.3">
      <c r="A18">
        <f>analog_to_temp_c[[#This Row],[Analog]]</f>
        <v>50</v>
      </c>
      <c r="B18">
        <f>analog_to_temp_c[[#This Row],[Temp_C]]</f>
        <v>16</v>
      </c>
      <c r="C18" s="4">
        <f t="shared" si="1"/>
        <v>3</v>
      </c>
      <c r="D18">
        <f t="shared" si="2"/>
        <v>16.068199999999997</v>
      </c>
      <c r="E18">
        <f t="shared" si="3"/>
        <v>15.967527999999998</v>
      </c>
      <c r="F18">
        <f t="shared" si="4"/>
        <v>16</v>
      </c>
      <c r="G18" s="4" t="b">
        <f t="shared" si="0"/>
        <v>1</v>
      </c>
    </row>
    <row r="19" spans="1:7" x14ac:dyDescent="0.3">
      <c r="A19">
        <f>analog_to_temp_c[[#This Row],[Analog]]</f>
        <v>53</v>
      </c>
      <c r="B19">
        <f>analog_to_temp_c[[#This Row],[Temp_C]]</f>
        <v>17</v>
      </c>
      <c r="C19" s="4">
        <f t="shared" si="1"/>
        <v>3</v>
      </c>
      <c r="D19">
        <f t="shared" si="2"/>
        <v>17.032291999999998</v>
      </c>
      <c r="E19">
        <f t="shared" si="3"/>
        <v>16.931619999999999</v>
      </c>
      <c r="F19">
        <f t="shared" si="4"/>
        <v>17</v>
      </c>
      <c r="G19" s="4" t="b">
        <f t="shared" si="0"/>
        <v>1</v>
      </c>
    </row>
    <row r="20" spans="1:7" x14ac:dyDescent="0.3">
      <c r="A20">
        <f>analog_to_temp_c[[#This Row],[Analog]]</f>
        <v>56</v>
      </c>
      <c r="B20">
        <f>analog_to_temp_c[[#This Row],[Temp_C]]</f>
        <v>18</v>
      </c>
      <c r="C20" s="4">
        <f t="shared" si="1"/>
        <v>3</v>
      </c>
      <c r="D20">
        <f t="shared" si="2"/>
        <v>17.996383999999999</v>
      </c>
      <c r="E20">
        <f t="shared" si="3"/>
        <v>17.895712</v>
      </c>
      <c r="F20">
        <f t="shared" si="4"/>
        <v>18</v>
      </c>
      <c r="G20" s="4" t="b">
        <f t="shared" si="0"/>
        <v>1</v>
      </c>
    </row>
    <row r="21" spans="1:7" x14ac:dyDescent="0.3">
      <c r="A21">
        <f>analog_to_temp_c[[#This Row],[Analog]]</f>
        <v>59</v>
      </c>
      <c r="B21">
        <f>analog_to_temp_c[[#This Row],[Temp_C]]</f>
        <v>19</v>
      </c>
      <c r="C21" s="4">
        <f t="shared" si="1"/>
        <v>3</v>
      </c>
      <c r="D21">
        <f t="shared" si="2"/>
        <v>18.960476</v>
      </c>
      <c r="E21">
        <f t="shared" si="3"/>
        <v>18.859804</v>
      </c>
      <c r="F21">
        <f t="shared" si="4"/>
        <v>19</v>
      </c>
      <c r="G21" s="4" t="b">
        <f t="shared" si="0"/>
        <v>1</v>
      </c>
    </row>
    <row r="22" spans="1:7" x14ac:dyDescent="0.3">
      <c r="A22">
        <f>analog_to_temp_c[[#This Row],[Analog]]</f>
        <v>63</v>
      </c>
      <c r="B22">
        <f>analog_to_temp_c[[#This Row],[Temp_C]]</f>
        <v>20</v>
      </c>
      <c r="C22" s="4">
        <f t="shared" si="1"/>
        <v>4</v>
      </c>
      <c r="D22">
        <f t="shared" si="2"/>
        <v>20.245932</v>
      </c>
      <c r="E22">
        <f t="shared" si="3"/>
        <v>20.14526</v>
      </c>
      <c r="F22">
        <f t="shared" si="4"/>
        <v>20</v>
      </c>
      <c r="G22" s="4" t="b">
        <f t="shared" si="0"/>
        <v>1</v>
      </c>
    </row>
    <row r="23" spans="1:7" x14ac:dyDescent="0.3">
      <c r="A23">
        <f>analog_to_temp_c[[#This Row],[Analog]]</f>
        <v>66</v>
      </c>
      <c r="B23">
        <f>analog_to_temp_c[[#This Row],[Temp_C]]</f>
        <v>21</v>
      </c>
      <c r="C23" s="4">
        <f t="shared" si="1"/>
        <v>3</v>
      </c>
      <c r="D23">
        <f t="shared" si="2"/>
        <v>21.210023999999997</v>
      </c>
      <c r="E23">
        <f t="shared" si="3"/>
        <v>21.109351999999998</v>
      </c>
      <c r="F23">
        <f t="shared" si="4"/>
        <v>21</v>
      </c>
      <c r="G23" s="4" t="b">
        <f t="shared" si="0"/>
        <v>1</v>
      </c>
    </row>
    <row r="24" spans="1:7" x14ac:dyDescent="0.3">
      <c r="A24">
        <f>analog_to_temp_c[[#This Row],[Analog]]</f>
        <v>69</v>
      </c>
      <c r="B24">
        <f>analog_to_temp_c[[#This Row],[Temp_C]]</f>
        <v>22</v>
      </c>
      <c r="C24" s="4">
        <f t="shared" si="1"/>
        <v>3</v>
      </c>
      <c r="D24">
        <f t="shared" si="2"/>
        <v>22.174115999999998</v>
      </c>
      <c r="E24">
        <f t="shared" si="3"/>
        <v>22.073443999999999</v>
      </c>
      <c r="F24">
        <f t="shared" si="4"/>
        <v>22</v>
      </c>
      <c r="G24" s="4" t="b">
        <f t="shared" si="0"/>
        <v>1</v>
      </c>
    </row>
    <row r="25" spans="1:7" x14ac:dyDescent="0.3">
      <c r="A25">
        <f>analog_to_temp_c[[#This Row],[Analog]]</f>
        <v>72</v>
      </c>
      <c r="B25">
        <f>analog_to_temp_c[[#This Row],[Temp_C]]</f>
        <v>23</v>
      </c>
      <c r="C25" s="4">
        <f t="shared" si="1"/>
        <v>3</v>
      </c>
      <c r="D25">
        <f t="shared" si="2"/>
        <v>23.138207999999999</v>
      </c>
      <c r="E25">
        <f t="shared" si="3"/>
        <v>23.037535999999999</v>
      </c>
      <c r="F25">
        <f t="shared" si="4"/>
        <v>23</v>
      </c>
      <c r="G25" s="4" t="b">
        <f t="shared" si="0"/>
        <v>1</v>
      </c>
    </row>
    <row r="26" spans="1:7" x14ac:dyDescent="0.3">
      <c r="A26">
        <f>analog_to_temp_c[[#This Row],[Analog]]</f>
        <v>75</v>
      </c>
      <c r="B26">
        <f>analog_to_temp_c[[#This Row],[Temp_C]]</f>
        <v>24</v>
      </c>
      <c r="C26" s="4">
        <f t="shared" si="1"/>
        <v>3</v>
      </c>
      <c r="D26">
        <f t="shared" si="2"/>
        <v>24.1023</v>
      </c>
      <c r="E26">
        <f t="shared" si="3"/>
        <v>24.001628</v>
      </c>
      <c r="F26">
        <f t="shared" si="4"/>
        <v>24</v>
      </c>
      <c r="G26" s="4" t="b">
        <f t="shared" si="0"/>
        <v>1</v>
      </c>
    </row>
    <row r="27" spans="1:7" x14ac:dyDescent="0.3">
      <c r="A27">
        <f>analog_to_temp_c[[#This Row],[Analog]]</f>
        <v>78</v>
      </c>
      <c r="B27">
        <f>analog_to_temp_c[[#This Row],[Temp_C]]</f>
        <v>25</v>
      </c>
      <c r="C27" s="4">
        <f t="shared" si="1"/>
        <v>3</v>
      </c>
      <c r="D27">
        <f t="shared" si="2"/>
        <v>25.066392</v>
      </c>
      <c r="E27">
        <f t="shared" si="3"/>
        <v>24.965720000000001</v>
      </c>
      <c r="F27">
        <f t="shared" si="4"/>
        <v>25</v>
      </c>
      <c r="G27" s="4" t="b">
        <f t="shared" si="0"/>
        <v>1</v>
      </c>
    </row>
    <row r="28" spans="1:7" x14ac:dyDescent="0.3">
      <c r="A28">
        <f>analog_to_temp_c[[#This Row],[Analog]]</f>
        <v>81</v>
      </c>
      <c r="B28">
        <f>analog_to_temp_c[[#This Row],[Temp_C]]</f>
        <v>26</v>
      </c>
      <c r="C28" s="4">
        <f t="shared" si="1"/>
        <v>3</v>
      </c>
      <c r="D28">
        <f t="shared" si="2"/>
        <v>26.030483999999998</v>
      </c>
      <c r="E28">
        <f t="shared" si="3"/>
        <v>25.929811999999998</v>
      </c>
      <c r="F28">
        <f t="shared" si="4"/>
        <v>26</v>
      </c>
      <c r="G28" s="4" t="b">
        <f t="shared" si="0"/>
        <v>1</v>
      </c>
    </row>
    <row r="29" spans="1:7" x14ac:dyDescent="0.3">
      <c r="A29">
        <f>analog_to_temp_c[[#This Row],[Analog]]</f>
        <v>84</v>
      </c>
      <c r="B29">
        <f>analog_to_temp_c[[#This Row],[Temp_C]]</f>
        <v>27</v>
      </c>
      <c r="C29" s="4">
        <f t="shared" si="1"/>
        <v>3</v>
      </c>
      <c r="D29">
        <f t="shared" si="2"/>
        <v>26.994575999999999</v>
      </c>
      <c r="E29">
        <f t="shared" si="3"/>
        <v>26.893903999999999</v>
      </c>
      <c r="F29">
        <f t="shared" si="4"/>
        <v>27</v>
      </c>
      <c r="G29" s="4" t="b">
        <f t="shared" si="0"/>
        <v>1</v>
      </c>
    </row>
    <row r="30" spans="1:7" x14ac:dyDescent="0.3">
      <c r="A30">
        <f>analog_to_temp_c[[#This Row],[Analog]]</f>
        <v>87</v>
      </c>
      <c r="B30">
        <f>analog_to_temp_c[[#This Row],[Temp_C]]</f>
        <v>28</v>
      </c>
      <c r="C30" s="4">
        <f t="shared" si="1"/>
        <v>3</v>
      </c>
      <c r="D30">
        <f t="shared" si="2"/>
        <v>27.958667999999999</v>
      </c>
      <c r="E30">
        <f t="shared" si="3"/>
        <v>27.857996</v>
      </c>
      <c r="F30">
        <f t="shared" si="4"/>
        <v>28</v>
      </c>
      <c r="G30" s="4" t="b">
        <f t="shared" si="0"/>
        <v>1</v>
      </c>
    </row>
    <row r="31" spans="1:7" x14ac:dyDescent="0.3">
      <c r="A31">
        <f>analog_to_temp_c[[#This Row],[Analog]]</f>
        <v>91</v>
      </c>
      <c r="B31">
        <f>analog_to_temp_c[[#This Row],[Temp_C]]</f>
        <v>29</v>
      </c>
      <c r="C31" s="4">
        <f t="shared" si="1"/>
        <v>4</v>
      </c>
      <c r="D31">
        <f t="shared" si="2"/>
        <v>29.244123999999999</v>
      </c>
      <c r="E31">
        <f t="shared" si="3"/>
        <v>29.143452</v>
      </c>
      <c r="F31">
        <f t="shared" si="4"/>
        <v>29</v>
      </c>
      <c r="G31" s="4" t="b">
        <f t="shared" si="0"/>
        <v>1</v>
      </c>
    </row>
    <row r="32" spans="1:7" x14ac:dyDescent="0.3">
      <c r="A32">
        <f>analog_to_temp_c[[#This Row],[Analog]]</f>
        <v>94</v>
      </c>
      <c r="B32">
        <f>analog_to_temp_c[[#This Row],[Temp_C]]</f>
        <v>30</v>
      </c>
      <c r="C32" s="4">
        <f t="shared" si="1"/>
        <v>3</v>
      </c>
      <c r="D32">
        <f t="shared" si="2"/>
        <v>30.208216</v>
      </c>
      <c r="E32">
        <f t="shared" si="3"/>
        <v>30.107544000000001</v>
      </c>
      <c r="F32">
        <f t="shared" si="4"/>
        <v>30</v>
      </c>
      <c r="G32" s="4" t="b">
        <f t="shared" si="0"/>
        <v>1</v>
      </c>
    </row>
    <row r="33" spans="1:7" x14ac:dyDescent="0.3">
      <c r="A33">
        <f>analog_to_temp_c[[#This Row],[Analog]]</f>
        <v>97</v>
      </c>
      <c r="B33">
        <f>analog_to_temp_c[[#This Row],[Temp_C]]</f>
        <v>31</v>
      </c>
      <c r="C33" s="4">
        <f t="shared" si="1"/>
        <v>3</v>
      </c>
      <c r="D33">
        <f t="shared" si="2"/>
        <v>31.172307999999997</v>
      </c>
      <c r="E33">
        <f t="shared" si="3"/>
        <v>31.071635999999998</v>
      </c>
      <c r="F33">
        <f t="shared" si="4"/>
        <v>31</v>
      </c>
      <c r="G33" s="4" t="b">
        <f t="shared" si="0"/>
        <v>1</v>
      </c>
    </row>
    <row r="34" spans="1:7" x14ac:dyDescent="0.3">
      <c r="A34">
        <f>analog_to_temp_c[[#This Row],[Analog]]</f>
        <v>98</v>
      </c>
      <c r="B34">
        <f>analog_to_temp_c[[#This Row],[Temp_C]]</f>
        <v>31.5</v>
      </c>
      <c r="C34" s="4">
        <f t="shared" si="1"/>
        <v>2</v>
      </c>
      <c r="D34">
        <f t="shared" si="2"/>
        <v>31.493671999999997</v>
      </c>
      <c r="E34">
        <f t="shared" si="3"/>
        <v>31.392999999999997</v>
      </c>
      <c r="F34">
        <f t="shared" si="4"/>
        <v>31.5</v>
      </c>
      <c r="G34" s="4" t="b">
        <f t="shared" ref="G34:G61" si="5">$B34=F34</f>
        <v>1</v>
      </c>
    </row>
    <row r="35" spans="1:7" x14ac:dyDescent="0.3">
      <c r="A35">
        <f>analog_to_temp_c[[#This Row],[Analog]]</f>
        <v>100</v>
      </c>
      <c r="B35">
        <f>analog_to_temp_c[[#This Row],[Temp_C]]</f>
        <v>32</v>
      </c>
      <c r="C35" s="4">
        <f t="shared" ref="C35:C61" si="6">(A35-A34)/(B35-B34)</f>
        <v>4</v>
      </c>
      <c r="D35">
        <f t="shared" si="2"/>
        <v>32.136399999999995</v>
      </c>
      <c r="E35">
        <f t="shared" si="3"/>
        <v>32.035727999999992</v>
      </c>
      <c r="F35">
        <f t="shared" si="4"/>
        <v>32</v>
      </c>
      <c r="G35" s="4" t="b">
        <f t="shared" si="5"/>
        <v>1</v>
      </c>
    </row>
    <row r="36" spans="1:7" x14ac:dyDescent="0.3">
      <c r="A36">
        <f>analog_to_temp_c[[#This Row],[Analog]]</f>
        <v>103</v>
      </c>
      <c r="B36">
        <f>analog_to_temp_c[[#This Row],[Temp_C]]</f>
        <v>33</v>
      </c>
      <c r="C36" s="4">
        <f t="shared" si="6"/>
        <v>3</v>
      </c>
      <c r="D36">
        <f t="shared" si="2"/>
        <v>33.100491999999996</v>
      </c>
      <c r="E36">
        <f t="shared" si="3"/>
        <v>32.999819999999993</v>
      </c>
      <c r="F36">
        <f t="shared" si="4"/>
        <v>33</v>
      </c>
      <c r="G36" s="4" t="b">
        <f t="shared" si="5"/>
        <v>1</v>
      </c>
    </row>
    <row r="37" spans="1:7" x14ac:dyDescent="0.3">
      <c r="A37">
        <f>analog_to_temp_c[[#This Row],[Analog]]</f>
        <v>106</v>
      </c>
      <c r="B37">
        <f>analog_to_temp_c[[#This Row],[Temp_C]]</f>
        <v>34</v>
      </c>
      <c r="C37" s="4">
        <f t="shared" si="6"/>
        <v>3</v>
      </c>
      <c r="D37">
        <f t="shared" si="2"/>
        <v>34.064583999999996</v>
      </c>
      <c r="E37">
        <f t="shared" si="3"/>
        <v>33.963911999999993</v>
      </c>
      <c r="F37">
        <f t="shared" si="4"/>
        <v>34</v>
      </c>
      <c r="G37" s="4" t="b">
        <f t="shared" si="5"/>
        <v>1</v>
      </c>
    </row>
    <row r="38" spans="1:7" x14ac:dyDescent="0.3">
      <c r="A38">
        <f>analog_to_temp_c[[#This Row],[Analog]]</f>
        <v>109</v>
      </c>
      <c r="B38">
        <f>analog_to_temp_c[[#This Row],[Temp_C]]</f>
        <v>35</v>
      </c>
      <c r="C38" s="4">
        <f t="shared" si="6"/>
        <v>3</v>
      </c>
      <c r="D38">
        <f t="shared" si="2"/>
        <v>35.028675999999997</v>
      </c>
      <c r="E38">
        <f t="shared" si="3"/>
        <v>34.928003999999994</v>
      </c>
      <c r="F38">
        <f t="shared" si="4"/>
        <v>35</v>
      </c>
      <c r="G38" s="4" t="b">
        <f t="shared" si="5"/>
        <v>1</v>
      </c>
    </row>
    <row r="39" spans="1:7" x14ac:dyDescent="0.3">
      <c r="A39">
        <f>analog_to_temp_c[[#This Row],[Analog]]</f>
        <v>112</v>
      </c>
      <c r="B39">
        <f>analog_to_temp_c[[#This Row],[Temp_C]]</f>
        <v>36</v>
      </c>
      <c r="C39" s="4">
        <f t="shared" si="6"/>
        <v>3</v>
      </c>
      <c r="D39">
        <f t="shared" si="2"/>
        <v>35.992767999999998</v>
      </c>
      <c r="E39">
        <f t="shared" si="3"/>
        <v>35.892095999999995</v>
      </c>
      <c r="F39">
        <f t="shared" si="4"/>
        <v>36</v>
      </c>
      <c r="G39" s="4" t="b">
        <f t="shared" si="5"/>
        <v>1</v>
      </c>
    </row>
    <row r="40" spans="1:7" x14ac:dyDescent="0.3">
      <c r="A40">
        <f>analog_to_temp_c[[#This Row],[Analog]]</f>
        <v>115</v>
      </c>
      <c r="B40">
        <f>analog_to_temp_c[[#This Row],[Temp_C]]</f>
        <v>37</v>
      </c>
      <c r="C40" s="4">
        <f t="shared" si="6"/>
        <v>3</v>
      </c>
      <c r="D40">
        <f t="shared" si="2"/>
        <v>36.956859999999999</v>
      </c>
      <c r="E40">
        <f t="shared" si="3"/>
        <v>36.856187999999996</v>
      </c>
      <c r="F40">
        <f t="shared" si="4"/>
        <v>37</v>
      </c>
      <c r="G40" s="4" t="b">
        <f t="shared" si="5"/>
        <v>1</v>
      </c>
    </row>
    <row r="41" spans="1:7" x14ac:dyDescent="0.3">
      <c r="A41">
        <f>analog_to_temp_c[[#This Row],[Analog]]</f>
        <v>119</v>
      </c>
      <c r="B41">
        <f>analog_to_temp_c[[#This Row],[Temp_C]]</f>
        <v>38</v>
      </c>
      <c r="C41" s="4">
        <f t="shared" si="6"/>
        <v>4</v>
      </c>
      <c r="D41">
        <f t="shared" si="2"/>
        <v>38.242315999999995</v>
      </c>
      <c r="E41">
        <f t="shared" si="3"/>
        <v>38.141643999999992</v>
      </c>
      <c r="F41">
        <f t="shared" si="4"/>
        <v>38</v>
      </c>
      <c r="G41" s="4" t="b">
        <f t="shared" si="5"/>
        <v>1</v>
      </c>
    </row>
    <row r="42" spans="1:7" x14ac:dyDescent="0.3">
      <c r="A42">
        <f>analog_to_temp_c[[#This Row],[Analog]]</f>
        <v>122</v>
      </c>
      <c r="B42">
        <f>analog_to_temp_c[[#This Row],[Temp_C]]</f>
        <v>39</v>
      </c>
      <c r="C42" s="4">
        <f t="shared" si="6"/>
        <v>3</v>
      </c>
      <c r="D42">
        <f t="shared" si="2"/>
        <v>39.206407999999996</v>
      </c>
      <c r="E42">
        <f t="shared" si="3"/>
        <v>39.105735999999993</v>
      </c>
      <c r="F42">
        <f t="shared" si="4"/>
        <v>39</v>
      </c>
      <c r="G42" s="4" t="b">
        <f t="shared" si="5"/>
        <v>1</v>
      </c>
    </row>
    <row r="43" spans="1:7" x14ac:dyDescent="0.3">
      <c r="A43">
        <f>analog_to_temp_c[[#This Row],[Analog]]</f>
        <v>125</v>
      </c>
      <c r="B43">
        <f>analog_to_temp_c[[#This Row],[Temp_C]]</f>
        <v>40</v>
      </c>
      <c r="C43" s="4">
        <f t="shared" si="6"/>
        <v>3</v>
      </c>
      <c r="D43">
        <f t="shared" si="2"/>
        <v>40.170499999999997</v>
      </c>
      <c r="E43">
        <f t="shared" si="3"/>
        <v>40.069827999999994</v>
      </c>
      <c r="F43">
        <f t="shared" si="4"/>
        <v>40</v>
      </c>
      <c r="G43" s="4" t="b">
        <f t="shared" si="5"/>
        <v>1</v>
      </c>
    </row>
    <row r="44" spans="1:7" x14ac:dyDescent="0.3">
      <c r="A44">
        <f>analog_to_temp_c[[#This Row],[Analog]]</f>
        <v>128</v>
      </c>
      <c r="B44">
        <f>analog_to_temp_c[[#This Row],[Temp_C]]</f>
        <v>41</v>
      </c>
      <c r="C44" s="4">
        <f t="shared" si="6"/>
        <v>3</v>
      </c>
      <c r="D44">
        <f t="shared" si="2"/>
        <v>41.134591999999998</v>
      </c>
      <c r="E44">
        <f t="shared" si="3"/>
        <v>41.033919999999995</v>
      </c>
      <c r="F44">
        <f t="shared" si="4"/>
        <v>41</v>
      </c>
      <c r="G44" s="4" t="b">
        <f t="shared" si="5"/>
        <v>1</v>
      </c>
    </row>
    <row r="45" spans="1:7" x14ac:dyDescent="0.3">
      <c r="A45">
        <f>analog_to_temp_c[[#This Row],[Analog]]</f>
        <v>131</v>
      </c>
      <c r="B45">
        <f>analog_to_temp_c[[#This Row],[Temp_C]]</f>
        <v>42</v>
      </c>
      <c r="C45" s="4">
        <f t="shared" si="6"/>
        <v>3</v>
      </c>
      <c r="D45">
        <f t="shared" si="2"/>
        <v>42.098683999999999</v>
      </c>
      <c r="E45">
        <f t="shared" si="3"/>
        <v>41.998011999999996</v>
      </c>
      <c r="F45">
        <f t="shared" si="4"/>
        <v>42</v>
      </c>
      <c r="G45" s="4" t="b">
        <f t="shared" si="5"/>
        <v>1</v>
      </c>
    </row>
    <row r="46" spans="1:7" x14ac:dyDescent="0.3">
      <c r="A46">
        <f>analog_to_temp_c[[#This Row],[Analog]]</f>
        <v>134</v>
      </c>
      <c r="B46">
        <f>analog_to_temp_c[[#This Row],[Temp_C]]</f>
        <v>43</v>
      </c>
      <c r="C46" s="4">
        <f t="shared" si="6"/>
        <v>3</v>
      </c>
      <c r="D46">
        <f t="shared" si="2"/>
        <v>43.062775999999999</v>
      </c>
      <c r="E46">
        <f t="shared" si="3"/>
        <v>42.962103999999997</v>
      </c>
      <c r="F46">
        <f t="shared" si="4"/>
        <v>43</v>
      </c>
      <c r="G46" s="4" t="b">
        <f t="shared" si="5"/>
        <v>1</v>
      </c>
    </row>
    <row r="47" spans="1:7" x14ac:dyDescent="0.3">
      <c r="A47">
        <f>analog_to_temp_c[[#This Row],[Analog]]</f>
        <v>137</v>
      </c>
      <c r="B47">
        <f>analog_to_temp_c[[#This Row],[Temp_C]]</f>
        <v>44</v>
      </c>
      <c r="C47" s="4">
        <f t="shared" si="6"/>
        <v>3</v>
      </c>
      <c r="D47">
        <f t="shared" si="2"/>
        <v>44.026868</v>
      </c>
      <c r="E47">
        <f t="shared" si="3"/>
        <v>43.926195999999997</v>
      </c>
      <c r="F47">
        <f t="shared" si="4"/>
        <v>44</v>
      </c>
      <c r="G47" s="4" t="b">
        <f t="shared" si="5"/>
        <v>1</v>
      </c>
    </row>
    <row r="48" spans="1:7" x14ac:dyDescent="0.3">
      <c r="A48">
        <f>analog_to_temp_c[[#This Row],[Analog]]</f>
        <v>140</v>
      </c>
      <c r="B48">
        <f>analog_to_temp_c[[#This Row],[Temp_C]]</f>
        <v>45</v>
      </c>
      <c r="C48" s="4">
        <f t="shared" si="6"/>
        <v>3</v>
      </c>
      <c r="D48">
        <f t="shared" si="2"/>
        <v>44.990960000000001</v>
      </c>
      <c r="E48">
        <f t="shared" si="3"/>
        <v>44.890287999999998</v>
      </c>
      <c r="F48">
        <f t="shared" si="4"/>
        <v>45</v>
      </c>
      <c r="G48" s="4" t="b">
        <f t="shared" si="5"/>
        <v>1</v>
      </c>
    </row>
    <row r="49" spans="1:7" x14ac:dyDescent="0.3">
      <c r="A49">
        <f>analog_to_temp_c[[#This Row],[Analog]]</f>
        <v>143</v>
      </c>
      <c r="B49">
        <f>analog_to_temp_c[[#This Row],[Temp_C]]</f>
        <v>46</v>
      </c>
      <c r="C49" s="4">
        <f t="shared" si="6"/>
        <v>3</v>
      </c>
      <c r="D49">
        <f t="shared" si="2"/>
        <v>45.955051999999995</v>
      </c>
      <c r="E49">
        <f t="shared" si="3"/>
        <v>45.854379999999992</v>
      </c>
      <c r="F49">
        <f t="shared" si="4"/>
        <v>46</v>
      </c>
      <c r="G49" s="4" t="b">
        <f t="shared" si="5"/>
        <v>1</v>
      </c>
    </row>
    <row r="50" spans="1:7" x14ac:dyDescent="0.3">
      <c r="A50">
        <f>analog_to_temp_c[[#This Row],[Analog]]</f>
        <v>147</v>
      </c>
      <c r="B50">
        <f>analog_to_temp_c[[#This Row],[Temp_C]]</f>
        <v>47</v>
      </c>
      <c r="C50" s="4">
        <f t="shared" si="6"/>
        <v>4</v>
      </c>
      <c r="D50">
        <f>A50*$I$3</f>
        <v>47.240507999999998</v>
      </c>
      <c r="E50">
        <f t="shared" si="3"/>
        <v>47.139835999999995</v>
      </c>
      <c r="F50">
        <f t="shared" si="4"/>
        <v>47</v>
      </c>
      <c r="G50" s="4" t="b">
        <f t="shared" si="5"/>
        <v>1</v>
      </c>
    </row>
    <row r="51" spans="1:7" x14ac:dyDescent="0.3">
      <c r="A51">
        <f>analog_to_temp_c[[#This Row],[Analog]]</f>
        <v>150</v>
      </c>
      <c r="B51">
        <f>analog_to_temp_c[[#This Row],[Temp_C]]</f>
        <v>48</v>
      </c>
      <c r="C51" s="4">
        <f t="shared" si="6"/>
        <v>3</v>
      </c>
      <c r="D51">
        <f t="shared" si="2"/>
        <v>48.204599999999999</v>
      </c>
      <c r="E51">
        <f t="shared" si="3"/>
        <v>48.103927999999996</v>
      </c>
      <c r="F51">
        <f t="shared" si="4"/>
        <v>48</v>
      </c>
      <c r="G51" s="4" t="b">
        <f t="shared" si="5"/>
        <v>1</v>
      </c>
    </row>
    <row r="52" spans="1:7" x14ac:dyDescent="0.3">
      <c r="A52">
        <f>analog_to_temp_c[[#This Row],[Analog]]</f>
        <v>153</v>
      </c>
      <c r="B52">
        <f>analog_to_temp_c[[#This Row],[Temp_C]]</f>
        <v>49</v>
      </c>
      <c r="C52" s="4">
        <f t="shared" si="6"/>
        <v>3</v>
      </c>
      <c r="D52">
        <f t="shared" si="2"/>
        <v>49.168692</v>
      </c>
      <c r="E52">
        <f t="shared" si="3"/>
        <v>49.068019999999997</v>
      </c>
      <c r="F52">
        <f t="shared" si="4"/>
        <v>49</v>
      </c>
      <c r="G52" s="4" t="b">
        <f t="shared" si="5"/>
        <v>1</v>
      </c>
    </row>
    <row r="53" spans="1:7" x14ac:dyDescent="0.3">
      <c r="A53">
        <f>analog_to_temp_c[[#This Row],[Analog]]</f>
        <v>156</v>
      </c>
      <c r="B53">
        <f>analog_to_temp_c[[#This Row],[Temp_C]]</f>
        <v>50</v>
      </c>
      <c r="C53" s="4">
        <f t="shared" si="6"/>
        <v>3</v>
      </c>
      <c r="D53">
        <f t="shared" si="2"/>
        <v>50.132784000000001</v>
      </c>
      <c r="E53">
        <f t="shared" si="3"/>
        <v>50.032111999999998</v>
      </c>
      <c r="F53">
        <f t="shared" si="4"/>
        <v>50</v>
      </c>
      <c r="G53" s="4" t="b">
        <f t="shared" si="5"/>
        <v>1</v>
      </c>
    </row>
    <row r="54" spans="1:7" x14ac:dyDescent="0.3">
      <c r="A54">
        <f>analog_to_temp_c[[#This Row],[Analog]]</f>
        <v>159</v>
      </c>
      <c r="B54">
        <f>analog_to_temp_c[[#This Row],[Temp_C]]</f>
        <v>51</v>
      </c>
      <c r="C54" s="4">
        <f t="shared" si="6"/>
        <v>3</v>
      </c>
      <c r="D54">
        <f t="shared" si="2"/>
        <v>51.096875999999995</v>
      </c>
      <c r="E54">
        <f t="shared" si="3"/>
        <v>50.996203999999992</v>
      </c>
      <c r="F54">
        <f t="shared" si="4"/>
        <v>51</v>
      </c>
      <c r="G54" s="4" t="b">
        <f t="shared" si="5"/>
        <v>1</v>
      </c>
    </row>
    <row r="55" spans="1:7" x14ac:dyDescent="0.3">
      <c r="A55">
        <f>analog_to_temp_c[[#This Row],[Analog]]</f>
        <v>162</v>
      </c>
      <c r="B55">
        <f>analog_to_temp_c[[#This Row],[Temp_C]]</f>
        <v>52</v>
      </c>
      <c r="C55" s="4">
        <f t="shared" si="6"/>
        <v>3</v>
      </c>
      <c r="D55">
        <f t="shared" si="2"/>
        <v>52.060967999999995</v>
      </c>
      <c r="E55">
        <f t="shared" si="3"/>
        <v>51.960295999999992</v>
      </c>
      <c r="F55">
        <f t="shared" si="4"/>
        <v>52</v>
      </c>
      <c r="G55" s="4" t="b">
        <f t="shared" si="5"/>
        <v>1</v>
      </c>
    </row>
    <row r="56" spans="1:7" x14ac:dyDescent="0.3">
      <c r="A56">
        <f>analog_to_temp_c[[#This Row],[Analog]]</f>
        <v>165</v>
      </c>
      <c r="B56">
        <f>analog_to_temp_c[[#This Row],[Temp_C]]</f>
        <v>53</v>
      </c>
      <c r="C56" s="4">
        <f t="shared" si="6"/>
        <v>3</v>
      </c>
      <c r="D56">
        <f t="shared" si="2"/>
        <v>53.025059999999996</v>
      </c>
      <c r="E56">
        <f t="shared" si="3"/>
        <v>52.924387999999993</v>
      </c>
      <c r="F56">
        <f t="shared" si="4"/>
        <v>53</v>
      </c>
      <c r="G56" s="4" t="b">
        <f t="shared" si="5"/>
        <v>1</v>
      </c>
    </row>
    <row r="57" spans="1:7" x14ac:dyDescent="0.3">
      <c r="A57">
        <f>analog_to_temp_c[[#This Row],[Analog]]</f>
        <v>168</v>
      </c>
      <c r="B57">
        <f>analog_to_temp_c[[#This Row],[Temp_C]]</f>
        <v>54</v>
      </c>
      <c r="C57" s="4">
        <f t="shared" si="6"/>
        <v>3</v>
      </c>
      <c r="D57">
        <f t="shared" si="2"/>
        <v>53.989151999999997</v>
      </c>
      <c r="E57">
        <f t="shared" si="3"/>
        <v>53.888479999999994</v>
      </c>
      <c r="F57">
        <f t="shared" si="4"/>
        <v>54</v>
      </c>
      <c r="G57" s="4" t="b">
        <f t="shared" si="5"/>
        <v>1</v>
      </c>
    </row>
    <row r="58" spans="1:7" x14ac:dyDescent="0.3">
      <c r="A58">
        <f>analog_to_temp_c[[#This Row],[Analog]]</f>
        <v>171</v>
      </c>
      <c r="B58">
        <f>analog_to_temp_c[[#This Row],[Temp_C]]</f>
        <v>55</v>
      </c>
      <c r="C58" s="4">
        <f t="shared" si="6"/>
        <v>3</v>
      </c>
      <c r="D58">
        <f t="shared" si="2"/>
        <v>54.953243999999998</v>
      </c>
      <c r="E58">
        <f t="shared" si="3"/>
        <v>54.852571999999995</v>
      </c>
      <c r="F58">
        <f t="shared" si="4"/>
        <v>55</v>
      </c>
      <c r="G58" s="4" t="b">
        <f t="shared" si="5"/>
        <v>1</v>
      </c>
    </row>
    <row r="59" spans="1:7" x14ac:dyDescent="0.3">
      <c r="A59">
        <f>analog_to_temp_c[[#This Row],[Analog]]</f>
        <v>175</v>
      </c>
      <c r="B59">
        <f>analog_to_temp_c[[#This Row],[Temp_C]]</f>
        <v>56</v>
      </c>
      <c r="C59" s="4">
        <f t="shared" si="6"/>
        <v>4</v>
      </c>
      <c r="D59">
        <f t="shared" si="2"/>
        <v>56.238699999999994</v>
      </c>
      <c r="E59">
        <f t="shared" si="3"/>
        <v>56.138027999999991</v>
      </c>
      <c r="F59">
        <f t="shared" si="4"/>
        <v>56</v>
      </c>
      <c r="G59" s="4" t="b">
        <f t="shared" si="5"/>
        <v>1</v>
      </c>
    </row>
    <row r="60" spans="1:7" x14ac:dyDescent="0.3">
      <c r="A60">
        <f>analog_to_temp_c[[#This Row],[Analog]]</f>
        <v>178</v>
      </c>
      <c r="B60">
        <f>analog_to_temp_c[[#This Row],[Temp_C]]</f>
        <v>57</v>
      </c>
      <c r="C60" s="4">
        <f t="shared" si="6"/>
        <v>3</v>
      </c>
      <c r="D60">
        <f t="shared" si="2"/>
        <v>57.202791999999995</v>
      </c>
      <c r="E60">
        <f t="shared" si="3"/>
        <v>57.102119999999992</v>
      </c>
      <c r="F60">
        <f t="shared" si="4"/>
        <v>57</v>
      </c>
      <c r="G60" s="4" t="b">
        <f t="shared" si="5"/>
        <v>1</v>
      </c>
    </row>
    <row r="61" spans="1:7" x14ac:dyDescent="0.3">
      <c r="A61">
        <f>analog_to_temp_c[[#This Row],[Analog]]</f>
        <v>181</v>
      </c>
      <c r="B61">
        <f>analog_to_temp_c[[#This Row],[Temp_C]]</f>
        <v>58</v>
      </c>
      <c r="C61" s="4">
        <f t="shared" si="6"/>
        <v>3</v>
      </c>
      <c r="D61">
        <f t="shared" si="2"/>
        <v>58.166883999999996</v>
      </c>
      <c r="E61">
        <f t="shared" si="3"/>
        <v>58.066211999999993</v>
      </c>
      <c r="F61">
        <f t="shared" si="4"/>
        <v>58</v>
      </c>
      <c r="G61" s="4" t="b">
        <f t="shared" si="5"/>
        <v>1</v>
      </c>
    </row>
  </sheetData>
  <mergeCells count="2">
    <mergeCell ref="H1:I1"/>
    <mergeCell ref="J1:Q1"/>
  </mergeCells>
  <conditionalFormatting sqref="G1:G1048576">
    <cfRule type="expression" dxfId="0" priority="3">
      <formula>AND(G1&lt;&gt;"",G1=FALSE)</formula>
    </cfRule>
  </conditionalFormatting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BFF58-AB9B-462B-A528-18B750692DEE}">
  <dimension ref="A1:B61"/>
  <sheetViews>
    <sheetView workbookViewId="0"/>
  </sheetViews>
  <sheetFormatPr defaultRowHeight="14.4" x14ac:dyDescent="0.3"/>
  <cols>
    <col min="1" max="1" width="8.77734375" bestFit="1" customWidth="1"/>
    <col min="2" max="2" width="9.88671875" bestFit="1" customWidth="1"/>
  </cols>
  <sheetData>
    <row r="1" spans="1:2" x14ac:dyDescent="0.3">
      <c r="A1" t="s">
        <v>11</v>
      </c>
      <c r="B1" t="s">
        <v>12</v>
      </c>
    </row>
    <row r="2" spans="1:2" x14ac:dyDescent="0.3">
      <c r="A2">
        <v>0</v>
      </c>
      <c r="B2">
        <v>0</v>
      </c>
    </row>
    <row r="3" spans="1:2" x14ac:dyDescent="0.3">
      <c r="A3">
        <v>3</v>
      </c>
      <c r="B3">
        <v>1</v>
      </c>
    </row>
    <row r="4" spans="1:2" x14ac:dyDescent="0.3">
      <c r="A4">
        <v>7</v>
      </c>
      <c r="B4">
        <v>2</v>
      </c>
    </row>
    <row r="5" spans="1:2" x14ac:dyDescent="0.3">
      <c r="A5">
        <v>10</v>
      </c>
      <c r="B5">
        <v>3</v>
      </c>
    </row>
    <row r="6" spans="1:2" x14ac:dyDescent="0.3">
      <c r="A6">
        <v>13</v>
      </c>
      <c r="B6">
        <v>4</v>
      </c>
    </row>
    <row r="7" spans="1:2" x14ac:dyDescent="0.3">
      <c r="A7">
        <v>16</v>
      </c>
      <c r="B7">
        <v>5</v>
      </c>
    </row>
    <row r="8" spans="1:2" x14ac:dyDescent="0.3">
      <c r="A8">
        <v>19</v>
      </c>
      <c r="B8">
        <v>6</v>
      </c>
    </row>
    <row r="9" spans="1:2" x14ac:dyDescent="0.3">
      <c r="A9">
        <v>22</v>
      </c>
      <c r="B9">
        <v>7</v>
      </c>
    </row>
    <row r="10" spans="1:2" x14ac:dyDescent="0.3">
      <c r="A10">
        <v>25</v>
      </c>
      <c r="B10">
        <v>8</v>
      </c>
    </row>
    <row r="11" spans="1:2" x14ac:dyDescent="0.3">
      <c r="A11">
        <v>28</v>
      </c>
      <c r="B11">
        <v>9</v>
      </c>
    </row>
    <row r="12" spans="1:2" x14ac:dyDescent="0.3">
      <c r="A12">
        <v>31</v>
      </c>
      <c r="B12">
        <v>10</v>
      </c>
    </row>
    <row r="13" spans="1:2" x14ac:dyDescent="0.3">
      <c r="A13">
        <v>35</v>
      </c>
      <c r="B13">
        <v>11</v>
      </c>
    </row>
    <row r="14" spans="1:2" x14ac:dyDescent="0.3">
      <c r="A14">
        <v>38</v>
      </c>
      <c r="B14">
        <v>12</v>
      </c>
    </row>
    <row r="15" spans="1:2" x14ac:dyDescent="0.3">
      <c r="A15">
        <v>41</v>
      </c>
      <c r="B15">
        <v>13</v>
      </c>
    </row>
    <row r="16" spans="1:2" x14ac:dyDescent="0.3">
      <c r="A16">
        <v>44</v>
      </c>
      <c r="B16">
        <v>14</v>
      </c>
    </row>
    <row r="17" spans="1:2" x14ac:dyDescent="0.3">
      <c r="A17">
        <v>47</v>
      </c>
      <c r="B17">
        <v>15</v>
      </c>
    </row>
    <row r="18" spans="1:2" x14ac:dyDescent="0.3">
      <c r="A18">
        <v>50</v>
      </c>
      <c r="B18">
        <v>16</v>
      </c>
    </row>
    <row r="19" spans="1:2" x14ac:dyDescent="0.3">
      <c r="A19">
        <v>53</v>
      </c>
      <c r="B19">
        <v>17</v>
      </c>
    </row>
    <row r="20" spans="1:2" x14ac:dyDescent="0.3">
      <c r="A20">
        <v>56</v>
      </c>
      <c r="B20">
        <v>18</v>
      </c>
    </row>
    <row r="21" spans="1:2" x14ac:dyDescent="0.3">
      <c r="A21">
        <v>59</v>
      </c>
      <c r="B21">
        <v>19</v>
      </c>
    </row>
    <row r="22" spans="1:2" x14ac:dyDescent="0.3">
      <c r="A22">
        <v>63</v>
      </c>
      <c r="B22">
        <v>20</v>
      </c>
    </row>
    <row r="23" spans="1:2" x14ac:dyDescent="0.3">
      <c r="A23">
        <v>66</v>
      </c>
      <c r="B23">
        <v>21</v>
      </c>
    </row>
    <row r="24" spans="1:2" x14ac:dyDescent="0.3">
      <c r="A24">
        <v>69</v>
      </c>
      <c r="B24">
        <v>22</v>
      </c>
    </row>
    <row r="25" spans="1:2" x14ac:dyDescent="0.3">
      <c r="A25">
        <v>72</v>
      </c>
      <c r="B25">
        <v>23</v>
      </c>
    </row>
    <row r="26" spans="1:2" x14ac:dyDescent="0.3">
      <c r="A26">
        <v>75</v>
      </c>
      <c r="B26">
        <v>24</v>
      </c>
    </row>
    <row r="27" spans="1:2" x14ac:dyDescent="0.3">
      <c r="A27">
        <v>78</v>
      </c>
      <c r="B27">
        <v>25</v>
      </c>
    </row>
    <row r="28" spans="1:2" x14ac:dyDescent="0.3">
      <c r="A28">
        <v>81</v>
      </c>
      <c r="B28">
        <v>26</v>
      </c>
    </row>
    <row r="29" spans="1:2" x14ac:dyDescent="0.3">
      <c r="A29">
        <v>84</v>
      </c>
      <c r="B29">
        <v>27</v>
      </c>
    </row>
    <row r="30" spans="1:2" x14ac:dyDescent="0.3">
      <c r="A30">
        <v>87</v>
      </c>
      <c r="B30">
        <v>28</v>
      </c>
    </row>
    <row r="31" spans="1:2" x14ac:dyDescent="0.3">
      <c r="A31">
        <v>91</v>
      </c>
      <c r="B31">
        <v>29</v>
      </c>
    </row>
    <row r="32" spans="1:2" x14ac:dyDescent="0.3">
      <c r="A32">
        <v>94</v>
      </c>
      <c r="B32">
        <v>30</v>
      </c>
    </row>
    <row r="33" spans="1:2" x14ac:dyDescent="0.3">
      <c r="A33">
        <v>97</v>
      </c>
      <c r="B33">
        <v>31</v>
      </c>
    </row>
    <row r="34" spans="1:2" x14ac:dyDescent="0.3">
      <c r="A34">
        <v>98</v>
      </c>
      <c r="B34">
        <v>31.5</v>
      </c>
    </row>
    <row r="35" spans="1:2" x14ac:dyDescent="0.3">
      <c r="A35">
        <v>100</v>
      </c>
      <c r="B35">
        <v>32</v>
      </c>
    </row>
    <row r="36" spans="1:2" x14ac:dyDescent="0.3">
      <c r="A36">
        <v>103</v>
      </c>
      <c r="B36">
        <v>33</v>
      </c>
    </row>
    <row r="37" spans="1:2" x14ac:dyDescent="0.3">
      <c r="A37">
        <v>106</v>
      </c>
      <c r="B37">
        <v>34</v>
      </c>
    </row>
    <row r="38" spans="1:2" x14ac:dyDescent="0.3">
      <c r="A38">
        <v>109</v>
      </c>
      <c r="B38">
        <v>35</v>
      </c>
    </row>
    <row r="39" spans="1:2" x14ac:dyDescent="0.3">
      <c r="A39">
        <v>112</v>
      </c>
      <c r="B39">
        <v>36</v>
      </c>
    </row>
    <row r="40" spans="1:2" x14ac:dyDescent="0.3">
      <c r="A40">
        <v>115</v>
      </c>
      <c r="B40">
        <v>37</v>
      </c>
    </row>
    <row r="41" spans="1:2" x14ac:dyDescent="0.3">
      <c r="A41">
        <v>119</v>
      </c>
      <c r="B41">
        <v>38</v>
      </c>
    </row>
    <row r="42" spans="1:2" x14ac:dyDescent="0.3">
      <c r="A42">
        <v>122</v>
      </c>
      <c r="B42">
        <v>39</v>
      </c>
    </row>
    <row r="43" spans="1:2" x14ac:dyDescent="0.3">
      <c r="A43">
        <v>125</v>
      </c>
      <c r="B43">
        <v>40</v>
      </c>
    </row>
    <row r="44" spans="1:2" x14ac:dyDescent="0.3">
      <c r="A44">
        <v>128</v>
      </c>
      <c r="B44">
        <v>41</v>
      </c>
    </row>
    <row r="45" spans="1:2" x14ac:dyDescent="0.3">
      <c r="A45">
        <v>131</v>
      </c>
      <c r="B45">
        <v>42</v>
      </c>
    </row>
    <row r="46" spans="1:2" x14ac:dyDescent="0.3">
      <c r="A46">
        <v>134</v>
      </c>
      <c r="B46">
        <v>43</v>
      </c>
    </row>
    <row r="47" spans="1:2" x14ac:dyDescent="0.3">
      <c r="A47">
        <v>137</v>
      </c>
      <c r="B47">
        <v>44</v>
      </c>
    </row>
    <row r="48" spans="1:2" x14ac:dyDescent="0.3">
      <c r="A48">
        <v>140</v>
      </c>
      <c r="B48">
        <v>45</v>
      </c>
    </row>
    <row r="49" spans="1:2" x14ac:dyDescent="0.3">
      <c r="A49">
        <v>143</v>
      </c>
      <c r="B49">
        <v>46</v>
      </c>
    </row>
    <row r="50" spans="1:2" x14ac:dyDescent="0.3">
      <c r="A50">
        <v>147</v>
      </c>
      <c r="B50">
        <v>47</v>
      </c>
    </row>
    <row r="51" spans="1:2" x14ac:dyDescent="0.3">
      <c r="A51">
        <v>150</v>
      </c>
      <c r="B51">
        <v>48</v>
      </c>
    </row>
    <row r="52" spans="1:2" x14ac:dyDescent="0.3">
      <c r="A52">
        <v>153</v>
      </c>
      <c r="B52">
        <v>49</v>
      </c>
    </row>
    <row r="53" spans="1:2" x14ac:dyDescent="0.3">
      <c r="A53">
        <v>156</v>
      </c>
      <c r="B53">
        <v>50</v>
      </c>
    </row>
    <row r="54" spans="1:2" x14ac:dyDescent="0.3">
      <c r="A54">
        <v>159</v>
      </c>
      <c r="B54">
        <v>51</v>
      </c>
    </row>
    <row r="55" spans="1:2" x14ac:dyDescent="0.3">
      <c r="A55">
        <v>162</v>
      </c>
      <c r="B55">
        <v>52</v>
      </c>
    </row>
    <row r="56" spans="1:2" x14ac:dyDescent="0.3">
      <c r="A56">
        <v>165</v>
      </c>
      <c r="B56">
        <v>53</v>
      </c>
    </row>
    <row r="57" spans="1:2" x14ac:dyDescent="0.3">
      <c r="A57">
        <v>168</v>
      </c>
      <c r="B57">
        <v>54</v>
      </c>
    </row>
    <row r="58" spans="1:2" x14ac:dyDescent="0.3">
      <c r="A58">
        <v>171</v>
      </c>
      <c r="B58">
        <v>55</v>
      </c>
    </row>
    <row r="59" spans="1:2" x14ac:dyDescent="0.3">
      <c r="A59">
        <v>175</v>
      </c>
      <c r="B59">
        <v>56</v>
      </c>
    </row>
    <row r="60" spans="1:2" x14ac:dyDescent="0.3">
      <c r="A60">
        <v>178</v>
      </c>
      <c r="B60">
        <v>57</v>
      </c>
    </row>
    <row r="61" spans="1:2" x14ac:dyDescent="0.3">
      <c r="A61">
        <v>181</v>
      </c>
      <c r="B61">
        <v>58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A2B0EB-048A-4388-910B-CB31A7F6A5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Analog to Temp (C)</vt:lpstr>
      <vt:lpstr>analog_to_temp_c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 Tristian Apostol</dc:creator>
  <cp:lastModifiedBy>Gian Tristian Apostol</cp:lastModifiedBy>
  <dcterms:created xsi:type="dcterms:W3CDTF">2026-01-28T14:57:57Z</dcterms:created>
  <dcterms:modified xsi:type="dcterms:W3CDTF">2026-02-01T19:23:58Z</dcterms:modified>
</cp:coreProperties>
</file>
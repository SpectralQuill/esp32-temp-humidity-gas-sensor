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t\Projects\esp32-temp-humidity-gas-sensor\dev\"/>
    </mc:Choice>
  </mc:AlternateContent>
  <xr:revisionPtr revIDLastSave="0" documentId="13_ncr:1_{9A3571AA-F5D1-4F73-8294-6AEF98F20CE4}" xr6:coauthVersionLast="47" xr6:coauthVersionMax="47" xr10:uidLastSave="{00000000-0000-0000-0000-000000000000}"/>
  <bookViews>
    <workbookView xWindow="-108" yWindow="-108" windowWidth="23256" windowHeight="12456" xr2:uid="{5C5574AC-722E-4C0F-A9B9-7BAA6005D66E}"/>
  </bookViews>
  <sheets>
    <sheet name="Analog to Temp (C)" sheetId="1" r:id="rId1"/>
    <sheet name="analog_to_percentage" sheetId="5" r:id="rId2"/>
  </sheets>
  <definedNames>
    <definedName name="ExternalData_1" localSheetId="1" hidden="1">analog_to_percentage!$A$1:$B$102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" i="1" l="1"/>
  <c r="A102" i="1"/>
  <c r="D102" i="1" s="1"/>
  <c r="E102" i="1" s="1"/>
  <c r="B102" i="1"/>
  <c r="A3" i="1"/>
  <c r="B3" i="1"/>
  <c r="A4" i="1"/>
  <c r="D4" i="1" s="1"/>
  <c r="E4" i="1" s="1"/>
  <c r="B4" i="1"/>
  <c r="A5" i="1"/>
  <c r="D5" i="1" s="1"/>
  <c r="E5" i="1" s="1"/>
  <c r="B5" i="1"/>
  <c r="A6" i="1"/>
  <c r="D6" i="1" s="1"/>
  <c r="E6" i="1" s="1"/>
  <c r="B6" i="1"/>
  <c r="A7" i="1"/>
  <c r="B7" i="1"/>
  <c r="A8" i="1"/>
  <c r="D8" i="1" s="1"/>
  <c r="E8" i="1" s="1"/>
  <c r="B8" i="1"/>
  <c r="A9" i="1"/>
  <c r="D9" i="1" s="1"/>
  <c r="E9" i="1" s="1"/>
  <c r="B9" i="1"/>
  <c r="A10" i="1"/>
  <c r="B10" i="1"/>
  <c r="A11" i="1"/>
  <c r="D11" i="1" s="1"/>
  <c r="E11" i="1" s="1"/>
  <c r="B11" i="1"/>
  <c r="A12" i="1"/>
  <c r="B12" i="1"/>
  <c r="A13" i="1"/>
  <c r="D13" i="1" s="1"/>
  <c r="E13" i="1" s="1"/>
  <c r="B13" i="1"/>
  <c r="A14" i="1"/>
  <c r="D14" i="1" s="1"/>
  <c r="E14" i="1" s="1"/>
  <c r="B14" i="1"/>
  <c r="A15" i="1"/>
  <c r="D15" i="1" s="1"/>
  <c r="E15" i="1" s="1"/>
  <c r="B15" i="1"/>
  <c r="A16" i="1"/>
  <c r="D16" i="1" s="1"/>
  <c r="E16" i="1" s="1"/>
  <c r="B16" i="1"/>
  <c r="A17" i="1"/>
  <c r="D17" i="1" s="1"/>
  <c r="E17" i="1" s="1"/>
  <c r="B17" i="1"/>
  <c r="A18" i="1"/>
  <c r="D18" i="1" s="1"/>
  <c r="E18" i="1" s="1"/>
  <c r="B18" i="1"/>
  <c r="A19" i="1"/>
  <c r="B19" i="1"/>
  <c r="A20" i="1"/>
  <c r="D20" i="1" s="1"/>
  <c r="E20" i="1" s="1"/>
  <c r="B20" i="1"/>
  <c r="A21" i="1"/>
  <c r="D21" i="1" s="1"/>
  <c r="E21" i="1" s="1"/>
  <c r="B21" i="1"/>
  <c r="A22" i="1"/>
  <c r="B22" i="1"/>
  <c r="A23" i="1"/>
  <c r="B23" i="1"/>
  <c r="A24" i="1"/>
  <c r="B24" i="1"/>
  <c r="A25" i="1"/>
  <c r="B25" i="1"/>
  <c r="A26" i="1"/>
  <c r="D26" i="1" s="1"/>
  <c r="E26" i="1" s="1"/>
  <c r="B26" i="1"/>
  <c r="A27" i="1"/>
  <c r="D27" i="1" s="1"/>
  <c r="E27" i="1" s="1"/>
  <c r="B27" i="1"/>
  <c r="A28" i="1"/>
  <c r="B28" i="1"/>
  <c r="A29" i="1"/>
  <c r="D29" i="1" s="1"/>
  <c r="E29" i="1" s="1"/>
  <c r="B29" i="1"/>
  <c r="A30" i="1"/>
  <c r="D30" i="1" s="1"/>
  <c r="E30" i="1" s="1"/>
  <c r="B30" i="1"/>
  <c r="A31" i="1"/>
  <c r="D31" i="1" s="1"/>
  <c r="E31" i="1" s="1"/>
  <c r="B31" i="1"/>
  <c r="A32" i="1"/>
  <c r="D32" i="1" s="1"/>
  <c r="E32" i="1" s="1"/>
  <c r="B32" i="1"/>
  <c r="A33" i="1"/>
  <c r="D33" i="1" s="1"/>
  <c r="E33" i="1" s="1"/>
  <c r="B33" i="1"/>
  <c r="A34" i="1"/>
  <c r="D34" i="1" s="1"/>
  <c r="E34" i="1" s="1"/>
  <c r="B34" i="1"/>
  <c r="A35" i="1"/>
  <c r="D35" i="1" s="1"/>
  <c r="E35" i="1" s="1"/>
  <c r="B35" i="1"/>
  <c r="A36" i="1"/>
  <c r="B36" i="1"/>
  <c r="A37" i="1"/>
  <c r="B37" i="1"/>
  <c r="A38" i="1"/>
  <c r="D38" i="1" s="1"/>
  <c r="E38" i="1" s="1"/>
  <c r="B38" i="1"/>
  <c r="A39" i="1"/>
  <c r="D39" i="1" s="1"/>
  <c r="E39" i="1" s="1"/>
  <c r="B39" i="1"/>
  <c r="A40" i="1"/>
  <c r="D40" i="1" s="1"/>
  <c r="E40" i="1" s="1"/>
  <c r="B40" i="1"/>
  <c r="A41" i="1"/>
  <c r="D41" i="1" s="1"/>
  <c r="E41" i="1" s="1"/>
  <c r="B41" i="1"/>
  <c r="A42" i="1"/>
  <c r="D42" i="1" s="1"/>
  <c r="E42" i="1" s="1"/>
  <c r="B42" i="1"/>
  <c r="A43" i="1"/>
  <c r="D43" i="1" s="1"/>
  <c r="E43" i="1" s="1"/>
  <c r="B43" i="1"/>
  <c r="A44" i="1"/>
  <c r="D44" i="1" s="1"/>
  <c r="E44" i="1" s="1"/>
  <c r="B44" i="1"/>
  <c r="A45" i="1"/>
  <c r="D45" i="1" s="1"/>
  <c r="E45" i="1" s="1"/>
  <c r="B45" i="1"/>
  <c r="A46" i="1"/>
  <c r="D46" i="1" s="1"/>
  <c r="E46" i="1" s="1"/>
  <c r="B46" i="1"/>
  <c r="A47" i="1"/>
  <c r="D47" i="1" s="1"/>
  <c r="E47" i="1" s="1"/>
  <c r="B47" i="1"/>
  <c r="A48" i="1"/>
  <c r="B48" i="1"/>
  <c r="A49" i="1"/>
  <c r="D49" i="1" s="1"/>
  <c r="E49" i="1" s="1"/>
  <c r="B49" i="1"/>
  <c r="A50" i="1"/>
  <c r="D50" i="1" s="1"/>
  <c r="E50" i="1" s="1"/>
  <c r="B50" i="1"/>
  <c r="A51" i="1"/>
  <c r="B51" i="1"/>
  <c r="A52" i="1"/>
  <c r="B52" i="1"/>
  <c r="A53" i="1"/>
  <c r="B53" i="1"/>
  <c r="A54" i="1"/>
  <c r="B54" i="1"/>
  <c r="A55" i="1"/>
  <c r="D55" i="1" s="1"/>
  <c r="E55" i="1" s="1"/>
  <c r="B55" i="1"/>
  <c r="A56" i="1"/>
  <c r="D56" i="1" s="1"/>
  <c r="E56" i="1" s="1"/>
  <c r="B56" i="1"/>
  <c r="A57" i="1"/>
  <c r="D57" i="1" s="1"/>
  <c r="E57" i="1" s="1"/>
  <c r="B57" i="1"/>
  <c r="A58" i="1"/>
  <c r="D58" i="1" s="1"/>
  <c r="E58" i="1" s="1"/>
  <c r="B58" i="1"/>
  <c r="A59" i="1"/>
  <c r="D59" i="1" s="1"/>
  <c r="E59" i="1" s="1"/>
  <c r="B59" i="1"/>
  <c r="A60" i="1"/>
  <c r="D60" i="1" s="1"/>
  <c r="E60" i="1" s="1"/>
  <c r="B60" i="1"/>
  <c r="A61" i="1"/>
  <c r="B61" i="1"/>
  <c r="A62" i="1"/>
  <c r="B62" i="1"/>
  <c r="A63" i="1"/>
  <c r="D63" i="1" s="1"/>
  <c r="E63" i="1" s="1"/>
  <c r="B63" i="1"/>
  <c r="A64" i="1"/>
  <c r="B64" i="1"/>
  <c r="A65" i="1"/>
  <c r="C66" i="1" s="1"/>
  <c r="B65" i="1"/>
  <c r="A66" i="1"/>
  <c r="D66" i="1" s="1"/>
  <c r="E66" i="1" s="1"/>
  <c r="B66" i="1"/>
  <c r="A67" i="1"/>
  <c r="B67" i="1"/>
  <c r="A68" i="1"/>
  <c r="D68" i="1" s="1"/>
  <c r="E68" i="1" s="1"/>
  <c r="B68" i="1"/>
  <c r="A69" i="1"/>
  <c r="C69" i="1" s="1"/>
  <c r="B69" i="1"/>
  <c r="A70" i="1"/>
  <c r="B70" i="1"/>
  <c r="A71" i="1"/>
  <c r="D71" i="1" s="1"/>
  <c r="E71" i="1" s="1"/>
  <c r="B71" i="1"/>
  <c r="A72" i="1"/>
  <c r="D72" i="1" s="1"/>
  <c r="E72" i="1" s="1"/>
  <c r="B72" i="1"/>
  <c r="A73" i="1"/>
  <c r="D73" i="1" s="1"/>
  <c r="E73" i="1" s="1"/>
  <c r="B73" i="1"/>
  <c r="A74" i="1"/>
  <c r="C74" i="1" s="1"/>
  <c r="B74" i="1"/>
  <c r="A75" i="1"/>
  <c r="D75" i="1" s="1"/>
  <c r="E75" i="1" s="1"/>
  <c r="B75" i="1"/>
  <c r="A76" i="1"/>
  <c r="B76" i="1"/>
  <c r="A77" i="1"/>
  <c r="D77" i="1" s="1"/>
  <c r="E77" i="1" s="1"/>
  <c r="B77" i="1"/>
  <c r="A78" i="1"/>
  <c r="B78" i="1"/>
  <c r="A79" i="1"/>
  <c r="D79" i="1" s="1"/>
  <c r="E79" i="1" s="1"/>
  <c r="B79" i="1"/>
  <c r="A80" i="1"/>
  <c r="D80" i="1" s="1"/>
  <c r="E80" i="1" s="1"/>
  <c r="B80" i="1"/>
  <c r="A81" i="1"/>
  <c r="B81" i="1"/>
  <c r="A82" i="1"/>
  <c r="B82" i="1"/>
  <c r="A83" i="1"/>
  <c r="B83" i="1"/>
  <c r="A84" i="1"/>
  <c r="D84" i="1" s="1"/>
  <c r="E84" i="1" s="1"/>
  <c r="B84" i="1"/>
  <c r="A85" i="1"/>
  <c r="D85" i="1" s="1"/>
  <c r="E85" i="1" s="1"/>
  <c r="B85" i="1"/>
  <c r="A86" i="1"/>
  <c r="B86" i="1"/>
  <c r="A87" i="1"/>
  <c r="B87" i="1"/>
  <c r="A88" i="1"/>
  <c r="B88" i="1"/>
  <c r="A89" i="1"/>
  <c r="D89" i="1" s="1"/>
  <c r="E89" i="1" s="1"/>
  <c r="B89" i="1"/>
  <c r="A90" i="1"/>
  <c r="D90" i="1" s="1"/>
  <c r="E90" i="1" s="1"/>
  <c r="B90" i="1"/>
  <c r="A91" i="1"/>
  <c r="B91" i="1"/>
  <c r="A92" i="1"/>
  <c r="D92" i="1" s="1"/>
  <c r="E92" i="1" s="1"/>
  <c r="B92" i="1"/>
  <c r="A93" i="1"/>
  <c r="C93" i="1" s="1"/>
  <c r="B93" i="1"/>
  <c r="A94" i="1"/>
  <c r="D94" i="1" s="1"/>
  <c r="E94" i="1" s="1"/>
  <c r="B94" i="1"/>
  <c r="A95" i="1"/>
  <c r="D95" i="1" s="1"/>
  <c r="E95" i="1" s="1"/>
  <c r="B95" i="1"/>
  <c r="A96" i="1"/>
  <c r="D96" i="1" s="1"/>
  <c r="E96" i="1" s="1"/>
  <c r="B96" i="1"/>
  <c r="A97" i="1"/>
  <c r="D97" i="1" s="1"/>
  <c r="E97" i="1" s="1"/>
  <c r="B97" i="1"/>
  <c r="A98" i="1"/>
  <c r="D98" i="1" s="1"/>
  <c r="E98" i="1" s="1"/>
  <c r="B98" i="1"/>
  <c r="A99" i="1"/>
  <c r="B99" i="1"/>
  <c r="A100" i="1"/>
  <c r="B100" i="1"/>
  <c r="A101" i="1"/>
  <c r="D101" i="1" s="1"/>
  <c r="E101" i="1" s="1"/>
  <c r="B101" i="1"/>
  <c r="B2" i="1"/>
  <c r="A2" i="1"/>
  <c r="D12" i="1"/>
  <c r="E12" i="1" s="1"/>
  <c r="D24" i="1"/>
  <c r="E24" i="1" s="1"/>
  <c r="D36" i="1"/>
  <c r="E36" i="1" s="1"/>
  <c r="D48" i="1"/>
  <c r="E48" i="1" s="1"/>
  <c r="D3" i="1"/>
  <c r="E3" i="1" s="1"/>
  <c r="D23" i="1"/>
  <c r="E23" i="1" s="1"/>
  <c r="D25" i="1"/>
  <c r="E25" i="1" s="1"/>
  <c r="D51" i="1"/>
  <c r="E51" i="1" s="1"/>
  <c r="D54" i="1"/>
  <c r="E54" i="1" s="1"/>
  <c r="D2" i="1"/>
  <c r="E2" i="1" s="1"/>
  <c r="I6" i="1"/>
  <c r="F90" i="1" l="1"/>
  <c r="G90" i="1" s="1"/>
  <c r="F77" i="1"/>
  <c r="G77" i="1" s="1"/>
  <c r="F23" i="1"/>
  <c r="F27" i="1"/>
  <c r="F84" i="1"/>
  <c r="G84" i="1" s="1"/>
  <c r="F101" i="1"/>
  <c r="G101" i="1" s="1"/>
  <c r="F98" i="1"/>
  <c r="F95" i="1"/>
  <c r="G95" i="1" s="1"/>
  <c r="F25" i="1"/>
  <c r="F63" i="1"/>
  <c r="F33" i="1"/>
  <c r="D74" i="1"/>
  <c r="E74" i="1" s="1"/>
  <c r="F74" i="1" s="1"/>
  <c r="G74" i="1" s="1"/>
  <c r="C98" i="1"/>
  <c r="C79" i="1"/>
  <c r="F79" i="1"/>
  <c r="G79" i="1" s="1"/>
  <c r="D69" i="1"/>
  <c r="E69" i="1" s="1"/>
  <c r="F69" i="1" s="1"/>
  <c r="G69" i="1" s="1"/>
  <c r="F71" i="1"/>
  <c r="G71" i="1" s="1"/>
  <c r="F47" i="1"/>
  <c r="F5" i="1"/>
  <c r="C83" i="1"/>
  <c r="C53" i="1"/>
  <c r="C90" i="1"/>
  <c r="F66" i="1"/>
  <c r="G66" i="1" s="1"/>
  <c r="C88" i="1"/>
  <c r="C70" i="1"/>
  <c r="F46" i="1"/>
  <c r="C28" i="1"/>
  <c r="F4" i="1"/>
  <c r="F3" i="1"/>
  <c r="C87" i="1"/>
  <c r="F45" i="1"/>
  <c r="F21" i="1"/>
  <c r="C96" i="1"/>
  <c r="G98" i="1"/>
  <c r="F73" i="1"/>
  <c r="G73" i="1" s="1"/>
  <c r="C86" i="1"/>
  <c r="C62" i="1"/>
  <c r="F102" i="1"/>
  <c r="G102" i="1" s="1"/>
  <c r="D93" i="1"/>
  <c r="E93" i="1" s="1"/>
  <c r="F93" i="1" s="1"/>
  <c r="G93" i="1" s="1"/>
  <c r="F13" i="1"/>
  <c r="C72" i="1"/>
  <c r="C84" i="1"/>
  <c r="F97" i="1"/>
  <c r="G97" i="1" s="1"/>
  <c r="F94" i="1"/>
  <c r="G94" i="1" s="1"/>
  <c r="C76" i="1"/>
  <c r="F58" i="1"/>
  <c r="F40" i="1"/>
  <c r="F16" i="1"/>
  <c r="D83" i="1"/>
  <c r="E83" i="1" s="1"/>
  <c r="F54" i="1"/>
  <c r="F51" i="1"/>
  <c r="C81" i="1"/>
  <c r="F57" i="1"/>
  <c r="F48" i="1"/>
  <c r="F80" i="1"/>
  <c r="G80" i="1" s="1"/>
  <c r="F85" i="1"/>
  <c r="G85" i="1" s="1"/>
  <c r="D65" i="1"/>
  <c r="E65" i="1" s="1"/>
  <c r="F65" i="1" s="1"/>
  <c r="G65" i="1" s="1"/>
  <c r="C97" i="1"/>
  <c r="C67" i="1"/>
  <c r="D28" i="1"/>
  <c r="E28" i="1" s="1"/>
  <c r="F28" i="1" s="1"/>
  <c r="F9" i="1"/>
  <c r="C101" i="1"/>
  <c r="C82" i="1"/>
  <c r="C64" i="1"/>
  <c r="C52" i="1"/>
  <c r="F34" i="1"/>
  <c r="C22" i="1"/>
  <c r="G63" i="1"/>
  <c r="C99" i="1"/>
  <c r="F75" i="1"/>
  <c r="G75" i="1" s="1"/>
  <c r="C63" i="1"/>
  <c r="F39" i="1"/>
  <c r="F15" i="1"/>
  <c r="D87" i="1"/>
  <c r="E87" i="1" s="1"/>
  <c r="F87" i="1" s="1"/>
  <c r="G87" i="1" s="1"/>
  <c r="F92" i="1"/>
  <c r="G92" i="1" s="1"/>
  <c r="F68" i="1"/>
  <c r="G68" i="1" s="1"/>
  <c r="F14" i="1"/>
  <c r="C85" i="1"/>
  <c r="C91" i="1"/>
  <c r="C73" i="1"/>
  <c r="F96" i="1"/>
  <c r="G96" i="1" s="1"/>
  <c r="C78" i="1"/>
  <c r="F72" i="1"/>
  <c r="G72" i="1" s="1"/>
  <c r="D78" i="1"/>
  <c r="E78" i="1" s="1"/>
  <c r="F78" i="1" s="1"/>
  <c r="G78" i="1" s="1"/>
  <c r="C77" i="1"/>
  <c r="F32" i="1"/>
  <c r="C95" i="1"/>
  <c r="C71" i="1"/>
  <c r="F56" i="1"/>
  <c r="F44" i="1"/>
  <c r="F20" i="1"/>
  <c r="F89" i="1"/>
  <c r="G89" i="1" s="1"/>
  <c r="C92" i="1"/>
  <c r="D81" i="1"/>
  <c r="E81" i="1" s="1"/>
  <c r="F81" i="1" s="1"/>
  <c r="G81" i="1" s="1"/>
  <c r="F12" i="1"/>
  <c r="F55" i="1"/>
  <c r="F31" i="1"/>
  <c r="C7" i="1"/>
  <c r="F83" i="1"/>
  <c r="G83" i="1" s="1"/>
  <c r="D62" i="1"/>
  <c r="E62" i="1" s="1"/>
  <c r="F62" i="1" s="1"/>
  <c r="G62" i="1" s="1"/>
  <c r="D99" i="1"/>
  <c r="E99" i="1" s="1"/>
  <c r="F99" i="1" s="1"/>
  <c r="G99" i="1" s="1"/>
  <c r="C89" i="1"/>
  <c r="C65" i="1"/>
  <c r="F60" i="1"/>
  <c r="F42" i="1"/>
  <c r="F30" i="1"/>
  <c r="F18" i="1"/>
  <c r="F6" i="1"/>
  <c r="C102" i="1"/>
  <c r="D88" i="1"/>
  <c r="E88" i="1" s="1"/>
  <c r="F88" i="1" s="1"/>
  <c r="G88" i="1" s="1"/>
  <c r="C75" i="1"/>
  <c r="D64" i="1"/>
  <c r="E64" i="1" s="1"/>
  <c r="F64" i="1" s="1"/>
  <c r="G64" i="1" s="1"/>
  <c r="D82" i="1"/>
  <c r="E82" i="1" s="1"/>
  <c r="F82" i="1" s="1"/>
  <c r="G82" i="1" s="1"/>
  <c r="D100" i="1"/>
  <c r="E100" i="1" s="1"/>
  <c r="F100" i="1" s="1"/>
  <c r="G100" i="1" s="1"/>
  <c r="D76" i="1"/>
  <c r="E76" i="1" s="1"/>
  <c r="F76" i="1" s="1"/>
  <c r="G76" i="1" s="1"/>
  <c r="C100" i="1"/>
  <c r="F36" i="1"/>
  <c r="F38" i="1"/>
  <c r="F8" i="1"/>
  <c r="C68" i="1"/>
  <c r="F41" i="1"/>
  <c r="C61" i="1"/>
  <c r="F49" i="1"/>
  <c r="C37" i="1"/>
  <c r="D86" i="1"/>
  <c r="E86" i="1" s="1"/>
  <c r="F86" i="1" s="1"/>
  <c r="G86" i="1" s="1"/>
  <c r="C94" i="1"/>
  <c r="F59" i="1"/>
  <c r="F35" i="1"/>
  <c r="D91" i="1"/>
  <c r="E91" i="1" s="1"/>
  <c r="F91" i="1" s="1"/>
  <c r="G91" i="1" s="1"/>
  <c r="D67" i="1"/>
  <c r="E67" i="1" s="1"/>
  <c r="F67" i="1" s="1"/>
  <c r="G67" i="1" s="1"/>
  <c r="D22" i="1"/>
  <c r="E22" i="1" s="1"/>
  <c r="F22" i="1" s="1"/>
  <c r="F50" i="1"/>
  <c r="F26" i="1"/>
  <c r="F24" i="1"/>
  <c r="F43" i="1"/>
  <c r="C19" i="1"/>
  <c r="D70" i="1"/>
  <c r="E70" i="1" s="1"/>
  <c r="F70" i="1" s="1"/>
  <c r="G70" i="1" s="1"/>
  <c r="F2" i="1"/>
  <c r="F11" i="1"/>
  <c r="F29" i="1"/>
  <c r="F17" i="1"/>
  <c r="D53" i="1"/>
  <c r="E53" i="1" s="1"/>
  <c r="F53" i="1" s="1"/>
  <c r="C58" i="1"/>
  <c r="C36" i="1"/>
  <c r="C12" i="1"/>
  <c r="D52" i="1"/>
  <c r="E52" i="1" s="1"/>
  <c r="F52" i="1" s="1"/>
  <c r="C60" i="1"/>
  <c r="D37" i="1"/>
  <c r="E37" i="1" s="1"/>
  <c r="F37" i="1" s="1"/>
  <c r="D61" i="1"/>
  <c r="E61" i="1" s="1"/>
  <c r="F61" i="1" s="1"/>
  <c r="C41" i="1"/>
  <c r="C40" i="1"/>
  <c r="C10" i="1"/>
  <c r="C18" i="1"/>
  <c r="C34" i="1"/>
  <c r="C4" i="1"/>
  <c r="D10" i="1"/>
  <c r="E10" i="1" s="1"/>
  <c r="F10" i="1" s="1"/>
  <c r="C17" i="1"/>
  <c r="C16" i="1"/>
  <c r="D19" i="1"/>
  <c r="E19" i="1" s="1"/>
  <c r="F19" i="1" s="1"/>
  <c r="C59" i="1"/>
  <c r="C46" i="1"/>
  <c r="D7" i="1"/>
  <c r="E7" i="1" s="1"/>
  <c r="F7" i="1" s="1"/>
  <c r="C11" i="1"/>
  <c r="C3" i="1"/>
  <c r="C38" i="1"/>
  <c r="C56" i="1"/>
  <c r="C50" i="1"/>
  <c r="C45" i="1"/>
  <c r="C32" i="1"/>
  <c r="C26" i="1"/>
  <c r="C21" i="1"/>
  <c r="C14" i="1"/>
  <c r="C8" i="1"/>
  <c r="C6" i="1"/>
  <c r="C55" i="1"/>
  <c r="C43" i="1"/>
  <c r="C31" i="1"/>
  <c r="C30" i="1"/>
  <c r="C35" i="1"/>
  <c r="C23" i="1"/>
  <c r="C49" i="1"/>
  <c r="C25" i="1"/>
  <c r="C13" i="1"/>
  <c r="C47" i="1"/>
  <c r="C48" i="1"/>
  <c r="C24" i="1"/>
  <c r="C29" i="1"/>
  <c r="C5" i="1"/>
  <c r="C54" i="1"/>
  <c r="C42" i="1"/>
  <c r="C57" i="1"/>
  <c r="C9" i="1"/>
  <c r="C20" i="1"/>
  <c r="C33" i="1"/>
  <c r="C44" i="1"/>
  <c r="C51" i="1"/>
  <c r="C39" i="1"/>
  <c r="C27" i="1"/>
  <c r="C15" i="1"/>
  <c r="G57" i="1" l="1"/>
  <c r="G21" i="1" l="1"/>
  <c r="G36" i="1"/>
  <c r="G18" i="1"/>
  <c r="G28" i="1"/>
  <c r="G42" i="1"/>
  <c r="G2" i="1"/>
  <c r="G61" i="1"/>
  <c r="G56" i="1"/>
  <c r="G37" i="1"/>
  <c r="G52" i="1"/>
  <c r="G20" i="1"/>
  <c r="G9" i="1"/>
  <c r="G14" i="1"/>
  <c r="G54" i="1"/>
  <c r="G40" i="1"/>
  <c r="G41" i="1"/>
  <c r="G43" i="1"/>
  <c r="G3" i="1"/>
  <c r="G26" i="1"/>
  <c r="G35" i="1"/>
  <c r="G6" i="1"/>
  <c r="G53" i="1"/>
  <c r="G32" i="1"/>
  <c r="G25" i="1"/>
  <c r="G11" i="1"/>
  <c r="G59" i="1"/>
  <c r="G60" i="1"/>
  <c r="G45" i="1"/>
  <c r="G55" i="1"/>
  <c r="G44" i="1"/>
  <c r="G7" i="1"/>
  <c r="G8" i="1"/>
  <c r="G31" i="1"/>
  <c r="G48" i="1"/>
  <c r="G58" i="1"/>
  <c r="G50" i="1"/>
  <c r="G38" i="1"/>
  <c r="G49" i="1"/>
  <c r="G4" i="1"/>
  <c r="G22" i="1"/>
  <c r="G39" i="1"/>
  <c r="G12" i="1"/>
  <c r="G19" i="1"/>
  <c r="G10" i="1"/>
  <c r="G27" i="1"/>
  <c r="G33" i="1"/>
  <c r="G46" i="1"/>
  <c r="G29" i="1"/>
  <c r="G17" i="1"/>
  <c r="G34" i="1"/>
  <c r="G5" i="1"/>
  <c r="G16" i="1"/>
  <c r="G23" i="1"/>
  <c r="G15" i="1"/>
  <c r="G51" i="1"/>
  <c r="G47" i="1"/>
  <c r="G13" i="1"/>
  <c r="G24" i="1"/>
  <c r="G30" i="1"/>
  <c r="I9" i="1" l="1"/>
  <c r="I8" i="1"/>
  <c r="I12" i="1" l="1"/>
  <c r="I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349A6-52F4-45B8-88A1-ACA65B4D4502}" keepAlive="1" name="Query - analog_to_percentage" description="Connection to the 'analog_to_percentage' query in the workbook." type="5" refreshedVersion="8" background="1" saveData="1">
    <dbPr connection="Provider=Microsoft.Mashup.OleDb.1;Data Source=$Workbook$;Location=analog_to_percentage;Extended Properties=&quot;&quot;" command="SELECT * FROM [analog_to_percentage]"/>
  </connection>
</connections>
</file>

<file path=xl/sharedStrings.xml><?xml version="1.0" encoding="utf-8"?>
<sst xmlns="http://schemas.openxmlformats.org/spreadsheetml/2006/main" count="21" uniqueCount="21">
  <si>
    <t>Correct</t>
  </si>
  <si>
    <t>Analysis</t>
  </si>
  <si>
    <t>Rate of Change</t>
  </si>
  <si>
    <t>Correct Count</t>
  </si>
  <si>
    <t>Incorrect Count</t>
  </si>
  <si>
    <t>Inputs:</t>
  </si>
  <si>
    <t xml:space="preserve"> analogRead, increment</t>
  </si>
  <si>
    <t>Increment</t>
  </si>
  <si>
    <t>Scale</t>
  </si>
  <si>
    <t>Analog</t>
  </si>
  <si>
    <t>Correct Percentage</t>
  </si>
  <si>
    <t>Incorrect Percentage</t>
  </si>
  <si>
    <t>Analog Read</t>
  </si>
  <si>
    <t>Expected Output</t>
  </si>
  <si>
    <t>Product</t>
  </si>
  <si>
    <t>Offset</t>
  </si>
  <si>
    <t>Slope</t>
  </si>
  <si>
    <t>Intercept</t>
  </si>
  <si>
    <t>Formula for Analog Read to Percentage</t>
  </si>
  <si>
    <t>Percentage</t>
  </si>
  <si>
    <t>Rounded (0,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</si>
</sst>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14</xdr:col>
      <xdr:colOff>114300</xdr:colOff>
      <xdr:row>4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30B4EC-0EDB-41E0-BB38-3902CA0B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23900"/>
          <a:ext cx="25527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6</xdr:row>
      <xdr:rowOff>0</xdr:rowOff>
    </xdr:from>
    <xdr:to>
      <xdr:col>11</xdr:col>
      <xdr:colOff>548640</xdr:colOff>
      <xdr:row>7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24F083-CE85-4DAC-B053-730785DFB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089660"/>
          <a:ext cx="11582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15</xdr:col>
      <xdr:colOff>472440</xdr:colOff>
      <xdr:row>10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7BB1B3-03BA-4FFB-B573-CB5CECF5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638300"/>
          <a:ext cx="352044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155E25-A9E5-4ED5-8537-41544239F635}" autoFormatId="16" applyNumberFormats="0" applyBorderFormats="0" applyFontFormats="0" applyPatternFormats="0" applyAlignmentFormats="0" applyWidthHeightFormats="0">
  <queryTableRefresh nextId="3">
    <queryTableFields count="2">
      <queryTableField id="1" name="Analog" tableColumnId="1"/>
      <queryTableField id="2" name="Percentag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37458-AB45-4A1B-85BF-5284437AA106}" name="analog_to_percentage" displayName="analog_to_percentage" ref="A1:B102" tableType="queryTable" totalsRowShown="0">
  <autoFilter ref="A1:B102" xr:uid="{4AA37458-AB45-4A1B-85BF-5284437AA106}"/>
  <tableColumns count="2">
    <tableColumn id="1" xr3:uid="{0D199B30-C2E0-4EA0-93BE-AD8EA0571DE0}" uniqueName="1" name="Analog" queryTableFieldId="1"/>
    <tableColumn id="2" xr3:uid="{3415F652-EB2E-4578-A948-14FC2615ADB1}" uniqueName="2" name="Percentag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471-26BD-4211-B0E9-908EF189B709}">
  <dimension ref="A1:Q102"/>
  <sheetViews>
    <sheetView tabSelected="1" zoomScaleNormal="10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3.6640625" customWidth="1"/>
    <col min="2" max="2" width="17.44140625" customWidth="1"/>
    <col min="3" max="3" width="13.21875" style="4" customWidth="1"/>
    <col min="6" max="6" width="15.5546875" customWidth="1"/>
    <col min="7" max="7" width="8.88671875" style="4"/>
    <col min="8" max="8" width="20.6640625" customWidth="1"/>
    <col min="9" max="9" width="12.21875" style="4" customWidth="1"/>
    <col min="10" max="10" width="6.6640625" customWidth="1"/>
    <col min="17" max="17" width="8.88671875" style="4"/>
  </cols>
  <sheetData>
    <row r="1" spans="1:17" s="2" customFormat="1" ht="13.8" x14ac:dyDescent="0.3">
      <c r="A1" s="2" t="s">
        <v>12</v>
      </c>
      <c r="B1" s="2" t="s">
        <v>13</v>
      </c>
      <c r="C1" s="3" t="s">
        <v>2</v>
      </c>
      <c r="D1" s="2" t="s">
        <v>14</v>
      </c>
      <c r="E1" s="2" t="s">
        <v>15</v>
      </c>
      <c r="F1" s="2" t="s">
        <v>20</v>
      </c>
      <c r="G1" s="3" t="s">
        <v>0</v>
      </c>
      <c r="H1" s="8" t="s">
        <v>1</v>
      </c>
      <c r="I1" s="9"/>
      <c r="J1" s="8" t="s">
        <v>18</v>
      </c>
      <c r="K1" s="10"/>
      <c r="L1" s="10"/>
      <c r="M1" s="10"/>
      <c r="N1" s="10"/>
      <c r="O1" s="10"/>
      <c r="P1" s="10"/>
      <c r="Q1" s="9"/>
    </row>
    <row r="2" spans="1:17" x14ac:dyDescent="0.3">
      <c r="A2">
        <f>analog_to_percentage[[#This Row],[Analog]]</f>
        <v>0</v>
      </c>
      <c r="B2">
        <f>analog_to_percentage[[#This Row],[Percentage]]</f>
        <v>0</v>
      </c>
      <c r="D2">
        <f>A2*$I$3</f>
        <v>0</v>
      </c>
      <c r="E2">
        <f>D2+$I$4</f>
        <v>1.815E-3</v>
      </c>
      <c r="F2">
        <f>FLOOR(E2,1)+ROUND($I$6*(E2-FLOOR(E2,1)),0)/$I$6</f>
        <v>0</v>
      </c>
      <c r="G2" s="4" t="b">
        <f t="shared" ref="G2:G33" si="0">$B2=F2</f>
        <v>1</v>
      </c>
      <c r="H2" t="s">
        <v>7</v>
      </c>
      <c r="I2" s="7">
        <v>1</v>
      </c>
    </row>
    <row r="3" spans="1:17" x14ac:dyDescent="0.3">
      <c r="A3">
        <f>analog_to_percentage[[#This Row],[Analog]]</f>
        <v>10</v>
      </c>
      <c r="B3">
        <f>analog_to_percentage[[#This Row],[Percentage]]</f>
        <v>1</v>
      </c>
      <c r="C3" s="4">
        <f t="shared" ref="C3:C34" si="1">(A3-A2)/(B3-B2)</f>
        <v>10</v>
      </c>
      <c r="D3">
        <f t="shared" ref="D3:D61" si="2">A3*$I$3</f>
        <v>0.97655000000000003</v>
      </c>
      <c r="E3">
        <f t="shared" ref="E3:E61" si="3">D3+$I$4</f>
        <v>0.97836500000000004</v>
      </c>
      <c r="F3">
        <f t="shared" ref="F3:F61" si="4">FLOOR(E3,1)+ROUND($I$6*(E3-FLOOR(E3,1)),0)/$I$6</f>
        <v>1</v>
      </c>
      <c r="G3" s="4" t="b">
        <f t="shared" si="0"/>
        <v>1</v>
      </c>
      <c r="H3" t="s">
        <v>16</v>
      </c>
      <c r="I3" s="4">
        <v>9.7655000000000006E-2</v>
      </c>
      <c r="K3" s="1" t="s">
        <v>5</v>
      </c>
      <c r="L3" t="s">
        <v>6</v>
      </c>
    </row>
    <row r="4" spans="1:17" x14ac:dyDescent="0.3">
      <c r="A4">
        <f>analog_to_percentage[[#This Row],[Analog]]</f>
        <v>20</v>
      </c>
      <c r="B4">
        <f>analog_to_percentage[[#This Row],[Percentage]]</f>
        <v>2</v>
      </c>
      <c r="C4" s="4">
        <f t="shared" si="1"/>
        <v>10</v>
      </c>
      <c r="D4">
        <f t="shared" si="2"/>
        <v>1.9531000000000001</v>
      </c>
      <c r="E4">
        <f t="shared" si="3"/>
        <v>1.954915</v>
      </c>
      <c r="F4">
        <f t="shared" si="4"/>
        <v>2</v>
      </c>
      <c r="G4" s="4" t="b">
        <f t="shared" si="0"/>
        <v>1</v>
      </c>
      <c r="H4" t="s">
        <v>17</v>
      </c>
      <c r="I4" s="4">
        <v>1.815E-3</v>
      </c>
    </row>
    <row r="5" spans="1:17" x14ac:dyDescent="0.3">
      <c r="A5">
        <f>analog_to_percentage[[#This Row],[Analog]]</f>
        <v>31</v>
      </c>
      <c r="B5">
        <f>analog_to_percentage[[#This Row],[Percentage]]</f>
        <v>3</v>
      </c>
      <c r="C5" s="4">
        <f t="shared" si="1"/>
        <v>11</v>
      </c>
      <c r="D5">
        <f t="shared" si="2"/>
        <v>3.0273050000000001</v>
      </c>
      <c r="E5">
        <f t="shared" si="3"/>
        <v>3.0291200000000003</v>
      </c>
      <c r="F5">
        <f t="shared" si="4"/>
        <v>3</v>
      </c>
      <c r="G5" s="4" t="b">
        <f t="shared" si="0"/>
        <v>1</v>
      </c>
      <c r="K5" s="6"/>
    </row>
    <row r="6" spans="1:17" x14ac:dyDescent="0.3">
      <c r="A6">
        <f>analog_to_percentage[[#This Row],[Analog]]</f>
        <v>41</v>
      </c>
      <c r="B6">
        <f>analog_to_percentage[[#This Row],[Percentage]]</f>
        <v>4</v>
      </c>
      <c r="C6" s="4">
        <f t="shared" si="1"/>
        <v>10</v>
      </c>
      <c r="D6">
        <f t="shared" si="2"/>
        <v>4.0038550000000006</v>
      </c>
      <c r="E6">
        <f t="shared" si="3"/>
        <v>4.0056700000000003</v>
      </c>
      <c r="F6">
        <f t="shared" si="4"/>
        <v>4</v>
      </c>
      <c r="G6" s="4" t="b">
        <f t="shared" si="0"/>
        <v>1</v>
      </c>
      <c r="H6" t="s">
        <v>8</v>
      </c>
      <c r="I6" s="4">
        <f>1/I2</f>
        <v>1</v>
      </c>
    </row>
    <row r="7" spans="1:17" x14ac:dyDescent="0.3">
      <c r="A7">
        <f>analog_to_percentage[[#This Row],[Analog]]</f>
        <v>51</v>
      </c>
      <c r="B7">
        <f>analog_to_percentage[[#This Row],[Percentage]]</f>
        <v>5</v>
      </c>
      <c r="C7" s="4">
        <f t="shared" si="1"/>
        <v>10</v>
      </c>
      <c r="D7">
        <f t="shared" si="2"/>
        <v>4.9804050000000002</v>
      </c>
      <c r="E7">
        <f t="shared" si="3"/>
        <v>4.9822199999999999</v>
      </c>
      <c r="F7">
        <f t="shared" si="4"/>
        <v>5</v>
      </c>
      <c r="G7" s="4" t="b">
        <f t="shared" si="0"/>
        <v>1</v>
      </c>
    </row>
    <row r="8" spans="1:17" x14ac:dyDescent="0.3">
      <c r="A8">
        <f>analog_to_percentage[[#This Row],[Analog]]</f>
        <v>61</v>
      </c>
      <c r="B8">
        <f>analog_to_percentage[[#This Row],[Percentage]]</f>
        <v>6</v>
      </c>
      <c r="C8" s="4">
        <f t="shared" si="1"/>
        <v>10</v>
      </c>
      <c r="D8">
        <f t="shared" si="2"/>
        <v>5.9569550000000007</v>
      </c>
      <c r="E8">
        <f t="shared" si="3"/>
        <v>5.9587700000000003</v>
      </c>
      <c r="F8">
        <f t="shared" si="4"/>
        <v>6</v>
      </c>
      <c r="G8" s="4" t="b">
        <f t="shared" si="0"/>
        <v>1</v>
      </c>
      <c r="H8" t="s">
        <v>3</v>
      </c>
      <c r="I8" s="4">
        <f>COUNTIF(G:G,TRUE)</f>
        <v>101</v>
      </c>
    </row>
    <row r="9" spans="1:17" x14ac:dyDescent="0.3">
      <c r="A9">
        <f>analog_to_percentage[[#This Row],[Analog]]</f>
        <v>72</v>
      </c>
      <c r="B9">
        <f>analog_to_percentage[[#This Row],[Percentage]]</f>
        <v>7</v>
      </c>
      <c r="C9" s="4">
        <f t="shared" si="1"/>
        <v>11</v>
      </c>
      <c r="D9">
        <f t="shared" si="2"/>
        <v>7.0311600000000007</v>
      </c>
      <c r="E9">
        <f t="shared" si="3"/>
        <v>7.0329750000000004</v>
      </c>
      <c r="F9">
        <f t="shared" si="4"/>
        <v>7</v>
      </c>
      <c r="G9" s="4" t="b">
        <f t="shared" si="0"/>
        <v>1</v>
      </c>
      <c r="H9" t="s">
        <v>4</v>
      </c>
      <c r="I9" s="4">
        <f>COUNTIF(G:G,FALSE)</f>
        <v>0</v>
      </c>
    </row>
    <row r="10" spans="1:17" x14ac:dyDescent="0.3">
      <c r="A10">
        <f>analog_to_percentage[[#This Row],[Analog]]</f>
        <v>82</v>
      </c>
      <c r="B10">
        <f>analog_to_percentage[[#This Row],[Percentage]]</f>
        <v>8</v>
      </c>
      <c r="C10" s="4">
        <f t="shared" si="1"/>
        <v>10</v>
      </c>
      <c r="D10">
        <f t="shared" si="2"/>
        <v>8.0077100000000012</v>
      </c>
      <c r="E10">
        <f t="shared" si="3"/>
        <v>8.0095250000000018</v>
      </c>
      <c r="F10">
        <f t="shared" si="4"/>
        <v>8</v>
      </c>
      <c r="G10" s="4" t="b">
        <f t="shared" si="0"/>
        <v>1</v>
      </c>
    </row>
    <row r="11" spans="1:17" x14ac:dyDescent="0.3">
      <c r="A11">
        <f>analog_to_percentage[[#This Row],[Analog]]</f>
        <v>92</v>
      </c>
      <c r="B11">
        <f>analog_to_percentage[[#This Row],[Percentage]]</f>
        <v>9</v>
      </c>
      <c r="C11" s="4">
        <f t="shared" si="1"/>
        <v>10</v>
      </c>
      <c r="D11">
        <f t="shared" si="2"/>
        <v>8.9842600000000008</v>
      </c>
      <c r="E11">
        <f t="shared" si="3"/>
        <v>8.9860750000000014</v>
      </c>
      <c r="F11">
        <f t="shared" si="4"/>
        <v>9</v>
      </c>
      <c r="G11" s="4" t="b">
        <f t="shared" si="0"/>
        <v>1</v>
      </c>
      <c r="H11" t="s">
        <v>10</v>
      </c>
      <c r="I11" s="5" t="str">
        <f>ROUND(I8/(I8+I9)*100,2)&amp;"%"</f>
        <v>100%</v>
      </c>
    </row>
    <row r="12" spans="1:17" x14ac:dyDescent="0.3">
      <c r="A12">
        <f>analog_to_percentage[[#This Row],[Analog]]</f>
        <v>102</v>
      </c>
      <c r="B12">
        <f>analog_to_percentage[[#This Row],[Percentage]]</f>
        <v>10</v>
      </c>
      <c r="C12" s="4">
        <f t="shared" si="1"/>
        <v>10</v>
      </c>
      <c r="D12">
        <f t="shared" si="2"/>
        <v>9.9608100000000004</v>
      </c>
      <c r="E12">
        <f t="shared" si="3"/>
        <v>9.962625000000001</v>
      </c>
      <c r="F12">
        <f t="shared" si="4"/>
        <v>10</v>
      </c>
      <c r="G12" s="4" t="b">
        <f t="shared" si="0"/>
        <v>1</v>
      </c>
      <c r="H12" t="s">
        <v>11</v>
      </c>
      <c r="I12" s="5" t="str">
        <f>ROUND(100-I8/(I8+I9)*100,2)&amp;"%"</f>
        <v>0%</v>
      </c>
    </row>
    <row r="13" spans="1:17" x14ac:dyDescent="0.3">
      <c r="A13">
        <f>analog_to_percentage[[#This Row],[Analog]]</f>
        <v>113</v>
      </c>
      <c r="B13">
        <f>analog_to_percentage[[#This Row],[Percentage]]</f>
        <v>11</v>
      </c>
      <c r="C13" s="4">
        <f t="shared" si="1"/>
        <v>11</v>
      </c>
      <c r="D13">
        <f t="shared" si="2"/>
        <v>11.035015000000001</v>
      </c>
      <c r="E13">
        <f t="shared" si="3"/>
        <v>11.036830000000002</v>
      </c>
      <c r="F13">
        <f t="shared" si="4"/>
        <v>11</v>
      </c>
      <c r="G13" s="4" t="b">
        <f t="shared" si="0"/>
        <v>1</v>
      </c>
    </row>
    <row r="14" spans="1:17" x14ac:dyDescent="0.3">
      <c r="A14">
        <f>analog_to_percentage[[#This Row],[Analog]]</f>
        <v>123</v>
      </c>
      <c r="B14">
        <f>analog_to_percentage[[#This Row],[Percentage]]</f>
        <v>12</v>
      </c>
      <c r="C14" s="4">
        <f t="shared" si="1"/>
        <v>10</v>
      </c>
      <c r="D14">
        <f t="shared" si="2"/>
        <v>12.011565000000001</v>
      </c>
      <c r="E14">
        <f t="shared" si="3"/>
        <v>12.013380000000002</v>
      </c>
      <c r="F14">
        <f t="shared" si="4"/>
        <v>12</v>
      </c>
      <c r="G14" s="4" t="b">
        <f t="shared" si="0"/>
        <v>1</v>
      </c>
    </row>
    <row r="15" spans="1:17" x14ac:dyDescent="0.3">
      <c r="A15">
        <f>analog_to_percentage[[#This Row],[Analog]]</f>
        <v>133</v>
      </c>
      <c r="B15">
        <f>analog_to_percentage[[#This Row],[Percentage]]</f>
        <v>13</v>
      </c>
      <c r="C15" s="4">
        <f t="shared" si="1"/>
        <v>10</v>
      </c>
      <c r="D15">
        <f t="shared" si="2"/>
        <v>12.988115000000001</v>
      </c>
      <c r="E15">
        <f t="shared" si="3"/>
        <v>12.989930000000001</v>
      </c>
      <c r="F15">
        <f t="shared" si="4"/>
        <v>13</v>
      </c>
      <c r="G15" s="4" t="b">
        <f t="shared" si="0"/>
        <v>1</v>
      </c>
    </row>
    <row r="16" spans="1:17" x14ac:dyDescent="0.3">
      <c r="A16">
        <f>analog_to_percentage[[#This Row],[Analog]]</f>
        <v>143</v>
      </c>
      <c r="B16">
        <f>analog_to_percentage[[#This Row],[Percentage]]</f>
        <v>14</v>
      </c>
      <c r="C16" s="4">
        <f t="shared" si="1"/>
        <v>10</v>
      </c>
      <c r="D16">
        <f t="shared" si="2"/>
        <v>13.964665</v>
      </c>
      <c r="E16">
        <f t="shared" si="3"/>
        <v>13.966480000000001</v>
      </c>
      <c r="F16">
        <f t="shared" si="4"/>
        <v>14</v>
      </c>
      <c r="G16" s="4" t="b">
        <f t="shared" si="0"/>
        <v>1</v>
      </c>
    </row>
    <row r="17" spans="1:7" x14ac:dyDescent="0.3">
      <c r="A17">
        <f>analog_to_percentage[[#This Row],[Analog]]</f>
        <v>154</v>
      </c>
      <c r="B17">
        <f>analog_to_percentage[[#This Row],[Percentage]]</f>
        <v>15</v>
      </c>
      <c r="C17" s="4">
        <f t="shared" si="1"/>
        <v>11</v>
      </c>
      <c r="D17">
        <f t="shared" si="2"/>
        <v>15.038870000000001</v>
      </c>
      <c r="E17">
        <f t="shared" si="3"/>
        <v>15.040685000000002</v>
      </c>
      <c r="F17">
        <f t="shared" si="4"/>
        <v>15</v>
      </c>
      <c r="G17" s="4" t="b">
        <f t="shared" si="0"/>
        <v>1</v>
      </c>
    </row>
    <row r="18" spans="1:7" x14ac:dyDescent="0.3">
      <c r="A18">
        <f>analog_to_percentage[[#This Row],[Analog]]</f>
        <v>164</v>
      </c>
      <c r="B18">
        <f>analog_to_percentage[[#This Row],[Percentage]]</f>
        <v>16</v>
      </c>
      <c r="C18" s="4">
        <f t="shared" si="1"/>
        <v>10</v>
      </c>
      <c r="D18">
        <f t="shared" si="2"/>
        <v>16.015420000000002</v>
      </c>
      <c r="E18">
        <f t="shared" si="3"/>
        <v>16.017235000000003</v>
      </c>
      <c r="F18">
        <f t="shared" si="4"/>
        <v>16</v>
      </c>
      <c r="G18" s="4" t="b">
        <f t="shared" si="0"/>
        <v>1</v>
      </c>
    </row>
    <row r="19" spans="1:7" x14ac:dyDescent="0.3">
      <c r="A19">
        <f>analog_to_percentage[[#This Row],[Analog]]</f>
        <v>174</v>
      </c>
      <c r="B19">
        <f>analog_to_percentage[[#This Row],[Percentage]]</f>
        <v>17</v>
      </c>
      <c r="C19" s="4">
        <f t="shared" si="1"/>
        <v>10</v>
      </c>
      <c r="D19">
        <f t="shared" si="2"/>
        <v>16.991970000000002</v>
      </c>
      <c r="E19">
        <f t="shared" si="3"/>
        <v>16.993785000000003</v>
      </c>
      <c r="F19">
        <f t="shared" si="4"/>
        <v>17</v>
      </c>
      <c r="G19" s="4" t="b">
        <f t="shared" si="0"/>
        <v>1</v>
      </c>
    </row>
    <row r="20" spans="1:7" x14ac:dyDescent="0.3">
      <c r="A20">
        <f>analog_to_percentage[[#This Row],[Analog]]</f>
        <v>184</v>
      </c>
      <c r="B20">
        <f>analog_to_percentage[[#This Row],[Percentage]]</f>
        <v>18</v>
      </c>
      <c r="C20" s="4">
        <f t="shared" si="1"/>
        <v>10</v>
      </c>
      <c r="D20">
        <f t="shared" si="2"/>
        <v>17.968520000000002</v>
      </c>
      <c r="E20">
        <f t="shared" si="3"/>
        <v>17.970335000000002</v>
      </c>
      <c r="F20">
        <f t="shared" si="4"/>
        <v>18</v>
      </c>
      <c r="G20" s="4" t="b">
        <f t="shared" si="0"/>
        <v>1</v>
      </c>
    </row>
    <row r="21" spans="1:7" x14ac:dyDescent="0.3">
      <c r="A21">
        <f>analog_to_percentage[[#This Row],[Analog]]</f>
        <v>195</v>
      </c>
      <c r="B21">
        <f>analog_to_percentage[[#This Row],[Percentage]]</f>
        <v>19</v>
      </c>
      <c r="C21" s="4">
        <f t="shared" si="1"/>
        <v>11</v>
      </c>
      <c r="D21">
        <f t="shared" si="2"/>
        <v>19.042725000000001</v>
      </c>
      <c r="E21">
        <f t="shared" si="3"/>
        <v>19.044540000000001</v>
      </c>
      <c r="F21">
        <f t="shared" si="4"/>
        <v>19</v>
      </c>
      <c r="G21" s="4" t="b">
        <f t="shared" si="0"/>
        <v>1</v>
      </c>
    </row>
    <row r="22" spans="1:7" x14ac:dyDescent="0.3">
      <c r="A22">
        <f>analog_to_percentage[[#This Row],[Analog]]</f>
        <v>205</v>
      </c>
      <c r="B22">
        <f>analog_to_percentage[[#This Row],[Percentage]]</f>
        <v>20</v>
      </c>
      <c r="C22" s="4">
        <f t="shared" si="1"/>
        <v>10</v>
      </c>
      <c r="D22">
        <f t="shared" si="2"/>
        <v>20.019275</v>
      </c>
      <c r="E22">
        <f t="shared" si="3"/>
        <v>20.021090000000001</v>
      </c>
      <c r="F22">
        <f t="shared" si="4"/>
        <v>20</v>
      </c>
      <c r="G22" s="4" t="b">
        <f t="shared" si="0"/>
        <v>1</v>
      </c>
    </row>
    <row r="23" spans="1:7" x14ac:dyDescent="0.3">
      <c r="A23">
        <f>analog_to_percentage[[#This Row],[Analog]]</f>
        <v>215</v>
      </c>
      <c r="B23">
        <f>analog_to_percentage[[#This Row],[Percentage]]</f>
        <v>21</v>
      </c>
      <c r="C23" s="4">
        <f t="shared" si="1"/>
        <v>10</v>
      </c>
      <c r="D23">
        <f t="shared" si="2"/>
        <v>20.995825</v>
      </c>
      <c r="E23">
        <f t="shared" si="3"/>
        <v>20.997640000000001</v>
      </c>
      <c r="F23">
        <f t="shared" si="4"/>
        <v>21</v>
      </c>
      <c r="G23" s="4" t="b">
        <f t="shared" si="0"/>
        <v>1</v>
      </c>
    </row>
    <row r="24" spans="1:7" x14ac:dyDescent="0.3">
      <c r="A24">
        <f>analog_to_percentage[[#This Row],[Analog]]</f>
        <v>225</v>
      </c>
      <c r="B24">
        <f>analog_to_percentage[[#This Row],[Percentage]]</f>
        <v>22</v>
      </c>
      <c r="C24" s="4">
        <f t="shared" si="1"/>
        <v>10</v>
      </c>
      <c r="D24">
        <f t="shared" si="2"/>
        <v>21.972375</v>
      </c>
      <c r="E24">
        <f t="shared" si="3"/>
        <v>21.97419</v>
      </c>
      <c r="F24">
        <f t="shared" si="4"/>
        <v>22</v>
      </c>
      <c r="G24" s="4" t="b">
        <f t="shared" si="0"/>
        <v>1</v>
      </c>
    </row>
    <row r="25" spans="1:7" x14ac:dyDescent="0.3">
      <c r="A25">
        <f>analog_to_percentage[[#This Row],[Analog]]</f>
        <v>236</v>
      </c>
      <c r="B25">
        <f>analog_to_percentage[[#This Row],[Percentage]]</f>
        <v>23</v>
      </c>
      <c r="C25" s="4">
        <f t="shared" si="1"/>
        <v>11</v>
      </c>
      <c r="D25">
        <f t="shared" si="2"/>
        <v>23.046580000000002</v>
      </c>
      <c r="E25">
        <f t="shared" si="3"/>
        <v>23.048395000000003</v>
      </c>
      <c r="F25">
        <f t="shared" si="4"/>
        <v>23</v>
      </c>
      <c r="G25" s="4" t="b">
        <f t="shared" si="0"/>
        <v>1</v>
      </c>
    </row>
    <row r="26" spans="1:7" x14ac:dyDescent="0.3">
      <c r="A26">
        <f>analog_to_percentage[[#This Row],[Analog]]</f>
        <v>246</v>
      </c>
      <c r="B26">
        <f>analog_to_percentage[[#This Row],[Percentage]]</f>
        <v>24</v>
      </c>
      <c r="C26" s="4">
        <f t="shared" si="1"/>
        <v>10</v>
      </c>
      <c r="D26">
        <f t="shared" si="2"/>
        <v>24.023130000000002</v>
      </c>
      <c r="E26">
        <f t="shared" si="3"/>
        <v>24.024945000000002</v>
      </c>
      <c r="F26">
        <f t="shared" si="4"/>
        <v>24</v>
      </c>
      <c r="G26" s="4" t="b">
        <f t="shared" si="0"/>
        <v>1</v>
      </c>
    </row>
    <row r="27" spans="1:7" x14ac:dyDescent="0.3">
      <c r="A27">
        <f>analog_to_percentage[[#This Row],[Analog]]</f>
        <v>256</v>
      </c>
      <c r="B27">
        <f>analog_to_percentage[[#This Row],[Percentage]]</f>
        <v>25</v>
      </c>
      <c r="C27" s="4">
        <f t="shared" si="1"/>
        <v>10</v>
      </c>
      <c r="D27">
        <f t="shared" si="2"/>
        <v>24.999680000000001</v>
      </c>
      <c r="E27">
        <f t="shared" si="3"/>
        <v>25.001495000000002</v>
      </c>
      <c r="F27">
        <f t="shared" si="4"/>
        <v>25</v>
      </c>
      <c r="G27" s="4" t="b">
        <f t="shared" si="0"/>
        <v>1</v>
      </c>
    </row>
    <row r="28" spans="1:7" x14ac:dyDescent="0.3">
      <c r="A28">
        <f>analog_to_percentage[[#This Row],[Analog]]</f>
        <v>266</v>
      </c>
      <c r="B28">
        <f>analog_to_percentage[[#This Row],[Percentage]]</f>
        <v>26</v>
      </c>
      <c r="C28" s="4">
        <f t="shared" si="1"/>
        <v>10</v>
      </c>
      <c r="D28">
        <f t="shared" si="2"/>
        <v>25.976230000000001</v>
      </c>
      <c r="E28">
        <f t="shared" si="3"/>
        <v>25.978045000000002</v>
      </c>
      <c r="F28">
        <f t="shared" si="4"/>
        <v>26</v>
      </c>
      <c r="G28" s="4" t="b">
        <f t="shared" si="0"/>
        <v>1</v>
      </c>
    </row>
    <row r="29" spans="1:7" x14ac:dyDescent="0.3">
      <c r="A29">
        <f>analog_to_percentage[[#This Row],[Analog]]</f>
        <v>276</v>
      </c>
      <c r="B29">
        <f>analog_to_percentage[[#This Row],[Percentage]]</f>
        <v>27</v>
      </c>
      <c r="C29" s="4">
        <f t="shared" si="1"/>
        <v>10</v>
      </c>
      <c r="D29">
        <f t="shared" si="2"/>
        <v>26.952780000000001</v>
      </c>
      <c r="E29">
        <f t="shared" si="3"/>
        <v>26.954595000000001</v>
      </c>
      <c r="F29">
        <f t="shared" si="4"/>
        <v>27</v>
      </c>
      <c r="G29" s="4" t="b">
        <f t="shared" si="0"/>
        <v>1</v>
      </c>
    </row>
    <row r="30" spans="1:7" x14ac:dyDescent="0.3">
      <c r="A30">
        <f>analog_to_percentage[[#This Row],[Analog]]</f>
        <v>287</v>
      </c>
      <c r="B30">
        <f>analog_to_percentage[[#This Row],[Percentage]]</f>
        <v>28</v>
      </c>
      <c r="C30" s="4">
        <f t="shared" si="1"/>
        <v>11</v>
      </c>
      <c r="D30">
        <f t="shared" si="2"/>
        <v>28.026985000000003</v>
      </c>
      <c r="E30">
        <f t="shared" si="3"/>
        <v>28.028800000000004</v>
      </c>
      <c r="F30">
        <f t="shared" si="4"/>
        <v>28</v>
      </c>
      <c r="G30" s="4" t="b">
        <f t="shared" si="0"/>
        <v>1</v>
      </c>
    </row>
    <row r="31" spans="1:7" x14ac:dyDescent="0.3">
      <c r="A31">
        <f>analog_to_percentage[[#This Row],[Analog]]</f>
        <v>297</v>
      </c>
      <c r="B31">
        <f>analog_to_percentage[[#This Row],[Percentage]]</f>
        <v>29</v>
      </c>
      <c r="C31" s="4">
        <f t="shared" si="1"/>
        <v>10</v>
      </c>
      <c r="D31">
        <f t="shared" si="2"/>
        <v>29.003535000000003</v>
      </c>
      <c r="E31">
        <f t="shared" si="3"/>
        <v>29.005350000000004</v>
      </c>
      <c r="F31">
        <f t="shared" si="4"/>
        <v>29</v>
      </c>
      <c r="G31" s="4" t="b">
        <f t="shared" si="0"/>
        <v>1</v>
      </c>
    </row>
    <row r="32" spans="1:7" x14ac:dyDescent="0.3">
      <c r="A32">
        <f>analog_to_percentage[[#This Row],[Analog]]</f>
        <v>307</v>
      </c>
      <c r="B32">
        <f>analog_to_percentage[[#This Row],[Percentage]]</f>
        <v>30</v>
      </c>
      <c r="C32" s="4">
        <f t="shared" si="1"/>
        <v>10</v>
      </c>
      <c r="D32">
        <f t="shared" si="2"/>
        <v>29.980085000000003</v>
      </c>
      <c r="E32">
        <f t="shared" si="3"/>
        <v>29.981900000000003</v>
      </c>
      <c r="F32">
        <f t="shared" si="4"/>
        <v>30</v>
      </c>
      <c r="G32" s="4" t="b">
        <f t="shared" si="0"/>
        <v>1</v>
      </c>
    </row>
    <row r="33" spans="1:7" x14ac:dyDescent="0.3">
      <c r="A33">
        <f>analog_to_percentage[[#This Row],[Analog]]</f>
        <v>317</v>
      </c>
      <c r="B33">
        <f>analog_to_percentage[[#This Row],[Percentage]]</f>
        <v>31</v>
      </c>
      <c r="C33" s="4">
        <f t="shared" si="1"/>
        <v>10</v>
      </c>
      <c r="D33">
        <f t="shared" si="2"/>
        <v>30.956635000000002</v>
      </c>
      <c r="E33">
        <f t="shared" si="3"/>
        <v>30.958450000000003</v>
      </c>
      <c r="F33">
        <f t="shared" si="4"/>
        <v>31</v>
      </c>
      <c r="G33" s="4" t="b">
        <f t="shared" si="0"/>
        <v>1</v>
      </c>
    </row>
    <row r="34" spans="1:7" x14ac:dyDescent="0.3">
      <c r="A34">
        <f>analog_to_percentage[[#This Row],[Analog]]</f>
        <v>328</v>
      </c>
      <c r="B34">
        <f>analog_to_percentage[[#This Row],[Percentage]]</f>
        <v>32</v>
      </c>
      <c r="C34" s="4">
        <f t="shared" si="1"/>
        <v>11</v>
      </c>
      <c r="D34">
        <f t="shared" si="2"/>
        <v>32.030840000000005</v>
      </c>
      <c r="E34">
        <f t="shared" si="3"/>
        <v>32.032655000000005</v>
      </c>
      <c r="F34">
        <f t="shared" si="4"/>
        <v>32</v>
      </c>
      <c r="G34" s="4" t="b">
        <f t="shared" ref="G34:G61" si="5">$B34=F34</f>
        <v>1</v>
      </c>
    </row>
    <row r="35" spans="1:7" x14ac:dyDescent="0.3">
      <c r="A35">
        <f>analog_to_percentage[[#This Row],[Analog]]</f>
        <v>338</v>
      </c>
      <c r="B35">
        <f>analog_to_percentage[[#This Row],[Percentage]]</f>
        <v>33</v>
      </c>
      <c r="C35" s="4">
        <f t="shared" ref="C35:C61" si="6">(A35-A34)/(B35-B34)</f>
        <v>10</v>
      </c>
      <c r="D35">
        <f t="shared" si="2"/>
        <v>33.007390000000001</v>
      </c>
      <c r="E35">
        <f t="shared" si="3"/>
        <v>33.009205000000001</v>
      </c>
      <c r="F35">
        <f t="shared" si="4"/>
        <v>33</v>
      </c>
      <c r="G35" s="4" t="b">
        <f t="shared" si="5"/>
        <v>1</v>
      </c>
    </row>
    <row r="36" spans="1:7" x14ac:dyDescent="0.3">
      <c r="A36">
        <f>analog_to_percentage[[#This Row],[Analog]]</f>
        <v>348</v>
      </c>
      <c r="B36">
        <f>analog_to_percentage[[#This Row],[Percentage]]</f>
        <v>34</v>
      </c>
      <c r="C36" s="4">
        <f t="shared" si="6"/>
        <v>10</v>
      </c>
      <c r="D36">
        <f t="shared" si="2"/>
        <v>33.983940000000004</v>
      </c>
      <c r="E36">
        <f t="shared" si="3"/>
        <v>33.985755000000005</v>
      </c>
      <c r="F36">
        <f t="shared" si="4"/>
        <v>34</v>
      </c>
      <c r="G36" s="4" t="b">
        <f t="shared" si="5"/>
        <v>1</v>
      </c>
    </row>
    <row r="37" spans="1:7" x14ac:dyDescent="0.3">
      <c r="A37">
        <f>analog_to_percentage[[#This Row],[Analog]]</f>
        <v>358</v>
      </c>
      <c r="B37">
        <f>analog_to_percentage[[#This Row],[Percentage]]</f>
        <v>35</v>
      </c>
      <c r="C37" s="4">
        <f t="shared" si="6"/>
        <v>10</v>
      </c>
      <c r="D37">
        <f t="shared" si="2"/>
        <v>34.96049</v>
      </c>
      <c r="E37">
        <f t="shared" si="3"/>
        <v>34.962305000000001</v>
      </c>
      <c r="F37">
        <f t="shared" si="4"/>
        <v>35</v>
      </c>
      <c r="G37" s="4" t="b">
        <f t="shared" si="5"/>
        <v>1</v>
      </c>
    </row>
    <row r="38" spans="1:7" x14ac:dyDescent="0.3">
      <c r="A38">
        <f>analog_to_percentage[[#This Row],[Analog]]</f>
        <v>369</v>
      </c>
      <c r="B38">
        <f>analog_to_percentage[[#This Row],[Percentage]]</f>
        <v>36</v>
      </c>
      <c r="C38" s="4">
        <f t="shared" si="6"/>
        <v>11</v>
      </c>
      <c r="D38">
        <f t="shared" si="2"/>
        <v>36.034694999999999</v>
      </c>
      <c r="E38">
        <f t="shared" si="3"/>
        <v>36.03651</v>
      </c>
      <c r="F38">
        <f t="shared" si="4"/>
        <v>36</v>
      </c>
      <c r="G38" s="4" t="b">
        <f t="shared" si="5"/>
        <v>1</v>
      </c>
    </row>
    <row r="39" spans="1:7" x14ac:dyDescent="0.3">
      <c r="A39">
        <f>analog_to_percentage[[#This Row],[Analog]]</f>
        <v>379</v>
      </c>
      <c r="B39">
        <f>analog_to_percentage[[#This Row],[Percentage]]</f>
        <v>37</v>
      </c>
      <c r="C39" s="4">
        <f t="shared" si="6"/>
        <v>10</v>
      </c>
      <c r="D39">
        <f t="shared" si="2"/>
        <v>37.011245000000002</v>
      </c>
      <c r="E39">
        <f t="shared" si="3"/>
        <v>37.013060000000003</v>
      </c>
      <c r="F39">
        <f t="shared" si="4"/>
        <v>37</v>
      </c>
      <c r="G39" s="4" t="b">
        <f t="shared" si="5"/>
        <v>1</v>
      </c>
    </row>
    <row r="40" spans="1:7" x14ac:dyDescent="0.3">
      <c r="A40">
        <f>analog_to_percentage[[#This Row],[Analog]]</f>
        <v>389</v>
      </c>
      <c r="B40">
        <f>analog_to_percentage[[#This Row],[Percentage]]</f>
        <v>38</v>
      </c>
      <c r="C40" s="4">
        <f t="shared" si="6"/>
        <v>10</v>
      </c>
      <c r="D40">
        <f t="shared" si="2"/>
        <v>37.987795000000006</v>
      </c>
      <c r="E40">
        <f t="shared" si="3"/>
        <v>37.989610000000006</v>
      </c>
      <c r="F40">
        <f t="shared" si="4"/>
        <v>38</v>
      </c>
      <c r="G40" s="4" t="b">
        <f t="shared" si="5"/>
        <v>1</v>
      </c>
    </row>
    <row r="41" spans="1:7" x14ac:dyDescent="0.3">
      <c r="A41">
        <f>analog_to_percentage[[#This Row],[Analog]]</f>
        <v>399</v>
      </c>
      <c r="B41">
        <f>analog_to_percentage[[#This Row],[Percentage]]</f>
        <v>39</v>
      </c>
      <c r="C41" s="4">
        <f t="shared" si="6"/>
        <v>10</v>
      </c>
      <c r="D41">
        <f t="shared" si="2"/>
        <v>38.964345000000002</v>
      </c>
      <c r="E41">
        <f t="shared" si="3"/>
        <v>38.966160000000002</v>
      </c>
      <c r="F41">
        <f t="shared" si="4"/>
        <v>39</v>
      </c>
      <c r="G41" s="4" t="b">
        <f t="shared" si="5"/>
        <v>1</v>
      </c>
    </row>
    <row r="42" spans="1:7" x14ac:dyDescent="0.3">
      <c r="A42">
        <f>analog_to_percentage[[#This Row],[Analog]]</f>
        <v>410</v>
      </c>
      <c r="B42">
        <f>analog_to_percentage[[#This Row],[Percentage]]</f>
        <v>40</v>
      </c>
      <c r="C42" s="4">
        <f t="shared" si="6"/>
        <v>11</v>
      </c>
      <c r="D42">
        <f t="shared" si="2"/>
        <v>40.038550000000001</v>
      </c>
      <c r="E42">
        <f t="shared" si="3"/>
        <v>40.040365000000001</v>
      </c>
      <c r="F42">
        <f t="shared" si="4"/>
        <v>40</v>
      </c>
      <c r="G42" s="4" t="b">
        <f t="shared" si="5"/>
        <v>1</v>
      </c>
    </row>
    <row r="43" spans="1:7" x14ac:dyDescent="0.3">
      <c r="A43">
        <f>analog_to_percentage[[#This Row],[Analog]]</f>
        <v>420</v>
      </c>
      <c r="B43">
        <f>analog_to_percentage[[#This Row],[Percentage]]</f>
        <v>41</v>
      </c>
      <c r="C43" s="4">
        <f t="shared" si="6"/>
        <v>10</v>
      </c>
      <c r="D43">
        <f t="shared" si="2"/>
        <v>41.015100000000004</v>
      </c>
      <c r="E43">
        <f t="shared" si="3"/>
        <v>41.016915000000004</v>
      </c>
      <c r="F43">
        <f t="shared" si="4"/>
        <v>41</v>
      </c>
      <c r="G43" s="4" t="b">
        <f t="shared" si="5"/>
        <v>1</v>
      </c>
    </row>
    <row r="44" spans="1:7" x14ac:dyDescent="0.3">
      <c r="A44">
        <f>analog_to_percentage[[#This Row],[Analog]]</f>
        <v>430</v>
      </c>
      <c r="B44">
        <f>analog_to_percentage[[#This Row],[Percentage]]</f>
        <v>42</v>
      </c>
      <c r="C44" s="4">
        <f t="shared" si="6"/>
        <v>10</v>
      </c>
      <c r="D44">
        <f t="shared" si="2"/>
        <v>41.99165</v>
      </c>
      <c r="E44">
        <f t="shared" si="3"/>
        <v>41.993465</v>
      </c>
      <c r="F44">
        <f t="shared" si="4"/>
        <v>42</v>
      </c>
      <c r="G44" s="4" t="b">
        <f t="shared" si="5"/>
        <v>1</v>
      </c>
    </row>
    <row r="45" spans="1:7" x14ac:dyDescent="0.3">
      <c r="A45">
        <f>analog_to_percentage[[#This Row],[Analog]]</f>
        <v>440</v>
      </c>
      <c r="B45">
        <f>analog_to_percentage[[#This Row],[Percentage]]</f>
        <v>43</v>
      </c>
      <c r="C45" s="4">
        <f t="shared" si="6"/>
        <v>10</v>
      </c>
      <c r="D45">
        <f t="shared" si="2"/>
        <v>42.968200000000003</v>
      </c>
      <c r="E45">
        <f t="shared" si="3"/>
        <v>42.970015000000004</v>
      </c>
      <c r="F45">
        <f t="shared" si="4"/>
        <v>43</v>
      </c>
      <c r="G45" s="4" t="b">
        <f t="shared" si="5"/>
        <v>1</v>
      </c>
    </row>
    <row r="46" spans="1:7" x14ac:dyDescent="0.3">
      <c r="A46">
        <f>analog_to_percentage[[#This Row],[Analog]]</f>
        <v>451</v>
      </c>
      <c r="B46">
        <f>analog_to_percentage[[#This Row],[Percentage]]</f>
        <v>44</v>
      </c>
      <c r="C46" s="4">
        <f t="shared" si="6"/>
        <v>11</v>
      </c>
      <c r="D46">
        <f t="shared" si="2"/>
        <v>44.042405000000002</v>
      </c>
      <c r="E46">
        <f t="shared" si="3"/>
        <v>44.044220000000003</v>
      </c>
      <c r="F46">
        <f t="shared" si="4"/>
        <v>44</v>
      </c>
      <c r="G46" s="4" t="b">
        <f t="shared" si="5"/>
        <v>1</v>
      </c>
    </row>
    <row r="47" spans="1:7" x14ac:dyDescent="0.3">
      <c r="A47">
        <f>analog_to_percentage[[#This Row],[Analog]]</f>
        <v>461</v>
      </c>
      <c r="B47">
        <f>analog_to_percentage[[#This Row],[Percentage]]</f>
        <v>45</v>
      </c>
      <c r="C47" s="4">
        <f t="shared" si="6"/>
        <v>10</v>
      </c>
      <c r="D47">
        <f t="shared" si="2"/>
        <v>45.018955000000005</v>
      </c>
      <c r="E47">
        <f t="shared" si="3"/>
        <v>45.020770000000006</v>
      </c>
      <c r="F47">
        <f t="shared" si="4"/>
        <v>45</v>
      </c>
      <c r="G47" s="4" t="b">
        <f t="shared" si="5"/>
        <v>1</v>
      </c>
    </row>
    <row r="48" spans="1:7" x14ac:dyDescent="0.3">
      <c r="A48">
        <f>analog_to_percentage[[#This Row],[Analog]]</f>
        <v>471</v>
      </c>
      <c r="B48">
        <f>analog_to_percentage[[#This Row],[Percentage]]</f>
        <v>46</v>
      </c>
      <c r="C48" s="4">
        <f t="shared" si="6"/>
        <v>10</v>
      </c>
      <c r="D48">
        <f t="shared" si="2"/>
        <v>45.995505000000001</v>
      </c>
      <c r="E48">
        <f t="shared" si="3"/>
        <v>45.997320000000002</v>
      </c>
      <c r="F48">
        <f t="shared" si="4"/>
        <v>46</v>
      </c>
      <c r="G48" s="4" t="b">
        <f t="shared" si="5"/>
        <v>1</v>
      </c>
    </row>
    <row r="49" spans="1:7" x14ac:dyDescent="0.3">
      <c r="A49">
        <f>analog_to_percentage[[#This Row],[Analog]]</f>
        <v>481</v>
      </c>
      <c r="B49">
        <f>analog_to_percentage[[#This Row],[Percentage]]</f>
        <v>47</v>
      </c>
      <c r="C49" s="4">
        <f t="shared" si="6"/>
        <v>10</v>
      </c>
      <c r="D49">
        <f t="shared" si="2"/>
        <v>46.972055000000005</v>
      </c>
      <c r="E49">
        <f t="shared" si="3"/>
        <v>46.973870000000005</v>
      </c>
      <c r="F49">
        <f t="shared" si="4"/>
        <v>47</v>
      </c>
      <c r="G49" s="4" t="b">
        <f t="shared" si="5"/>
        <v>1</v>
      </c>
    </row>
    <row r="50" spans="1:7" x14ac:dyDescent="0.3">
      <c r="A50">
        <f>analog_to_percentage[[#This Row],[Analog]]</f>
        <v>492</v>
      </c>
      <c r="B50">
        <f>analog_to_percentage[[#This Row],[Percentage]]</f>
        <v>48</v>
      </c>
      <c r="C50" s="4">
        <f t="shared" si="6"/>
        <v>11</v>
      </c>
      <c r="D50">
        <f>A50*$I$3</f>
        <v>48.046260000000004</v>
      </c>
      <c r="E50">
        <f t="shared" si="3"/>
        <v>48.048075000000004</v>
      </c>
      <c r="F50">
        <f t="shared" si="4"/>
        <v>48</v>
      </c>
      <c r="G50" s="4" t="b">
        <f t="shared" si="5"/>
        <v>1</v>
      </c>
    </row>
    <row r="51" spans="1:7" x14ac:dyDescent="0.3">
      <c r="A51">
        <f>analog_to_percentage[[#This Row],[Analog]]</f>
        <v>502</v>
      </c>
      <c r="B51">
        <f>analog_to_percentage[[#This Row],[Percentage]]</f>
        <v>49</v>
      </c>
      <c r="C51" s="4">
        <f t="shared" si="6"/>
        <v>10</v>
      </c>
      <c r="D51">
        <f t="shared" si="2"/>
        <v>49.02281</v>
      </c>
      <c r="E51">
        <f t="shared" si="3"/>
        <v>49.024625</v>
      </c>
      <c r="F51">
        <f t="shared" si="4"/>
        <v>49</v>
      </c>
      <c r="G51" s="4" t="b">
        <f t="shared" si="5"/>
        <v>1</v>
      </c>
    </row>
    <row r="52" spans="1:7" x14ac:dyDescent="0.3">
      <c r="A52">
        <f>analog_to_percentage[[#This Row],[Analog]]</f>
        <v>512</v>
      </c>
      <c r="B52">
        <f>analog_to_percentage[[#This Row],[Percentage]]</f>
        <v>50</v>
      </c>
      <c r="C52" s="4">
        <f t="shared" si="6"/>
        <v>10</v>
      </c>
      <c r="D52">
        <f t="shared" si="2"/>
        <v>49.999360000000003</v>
      </c>
      <c r="E52">
        <f t="shared" si="3"/>
        <v>50.001175000000003</v>
      </c>
      <c r="F52">
        <f t="shared" si="4"/>
        <v>50</v>
      </c>
      <c r="G52" s="4" t="b">
        <f t="shared" si="5"/>
        <v>1</v>
      </c>
    </row>
    <row r="53" spans="1:7" x14ac:dyDescent="0.3">
      <c r="A53">
        <f>analog_to_percentage[[#This Row],[Analog]]</f>
        <v>522</v>
      </c>
      <c r="B53">
        <f>analog_to_percentage[[#This Row],[Percentage]]</f>
        <v>51</v>
      </c>
      <c r="C53" s="4">
        <f t="shared" si="6"/>
        <v>10</v>
      </c>
      <c r="D53">
        <f t="shared" si="2"/>
        <v>50.975910000000006</v>
      </c>
      <c r="E53">
        <f t="shared" si="3"/>
        <v>50.977725000000007</v>
      </c>
      <c r="F53">
        <f t="shared" si="4"/>
        <v>51</v>
      </c>
      <c r="G53" s="4" t="b">
        <f t="shared" si="5"/>
        <v>1</v>
      </c>
    </row>
    <row r="54" spans="1:7" x14ac:dyDescent="0.3">
      <c r="A54">
        <f>analog_to_percentage[[#This Row],[Analog]]</f>
        <v>532</v>
      </c>
      <c r="B54">
        <f>analog_to_percentage[[#This Row],[Percentage]]</f>
        <v>52</v>
      </c>
      <c r="C54" s="4">
        <f t="shared" si="6"/>
        <v>10</v>
      </c>
      <c r="D54">
        <f t="shared" si="2"/>
        <v>51.952460000000002</v>
      </c>
      <c r="E54">
        <f t="shared" si="3"/>
        <v>51.954275000000003</v>
      </c>
      <c r="F54">
        <f t="shared" si="4"/>
        <v>52</v>
      </c>
      <c r="G54" s="4" t="b">
        <f t="shared" si="5"/>
        <v>1</v>
      </c>
    </row>
    <row r="55" spans="1:7" x14ac:dyDescent="0.3">
      <c r="A55">
        <f>analog_to_percentage[[#This Row],[Analog]]</f>
        <v>543</v>
      </c>
      <c r="B55">
        <f>analog_to_percentage[[#This Row],[Percentage]]</f>
        <v>53</v>
      </c>
      <c r="C55" s="4">
        <f t="shared" si="6"/>
        <v>11</v>
      </c>
      <c r="D55">
        <f t="shared" si="2"/>
        <v>53.026665000000001</v>
      </c>
      <c r="E55">
        <f t="shared" si="3"/>
        <v>53.028480000000002</v>
      </c>
      <c r="F55">
        <f t="shared" si="4"/>
        <v>53</v>
      </c>
      <c r="G55" s="4" t="b">
        <f t="shared" si="5"/>
        <v>1</v>
      </c>
    </row>
    <row r="56" spans="1:7" x14ac:dyDescent="0.3">
      <c r="A56">
        <f>analog_to_percentage[[#This Row],[Analog]]</f>
        <v>553</v>
      </c>
      <c r="B56">
        <f>analog_to_percentage[[#This Row],[Percentage]]</f>
        <v>54</v>
      </c>
      <c r="C56" s="4">
        <f t="shared" si="6"/>
        <v>10</v>
      </c>
      <c r="D56">
        <f t="shared" si="2"/>
        <v>54.003215000000004</v>
      </c>
      <c r="E56">
        <f t="shared" si="3"/>
        <v>54.005030000000005</v>
      </c>
      <c r="F56">
        <f t="shared" si="4"/>
        <v>54</v>
      </c>
      <c r="G56" s="4" t="b">
        <f t="shared" si="5"/>
        <v>1</v>
      </c>
    </row>
    <row r="57" spans="1:7" x14ac:dyDescent="0.3">
      <c r="A57">
        <f>analog_to_percentage[[#This Row],[Analog]]</f>
        <v>563</v>
      </c>
      <c r="B57">
        <f>analog_to_percentage[[#This Row],[Percentage]]</f>
        <v>55</v>
      </c>
      <c r="C57" s="4">
        <f t="shared" si="6"/>
        <v>10</v>
      </c>
      <c r="D57">
        <f t="shared" si="2"/>
        <v>54.979765</v>
      </c>
      <c r="E57">
        <f t="shared" si="3"/>
        <v>54.981580000000001</v>
      </c>
      <c r="F57">
        <f t="shared" si="4"/>
        <v>55</v>
      </c>
      <c r="G57" s="4" t="b">
        <f t="shared" si="5"/>
        <v>1</v>
      </c>
    </row>
    <row r="58" spans="1:7" x14ac:dyDescent="0.3">
      <c r="A58">
        <f>analog_to_percentage[[#This Row],[Analog]]</f>
        <v>573</v>
      </c>
      <c r="B58">
        <f>analog_to_percentage[[#This Row],[Percentage]]</f>
        <v>56</v>
      </c>
      <c r="C58" s="4">
        <f t="shared" si="6"/>
        <v>10</v>
      </c>
      <c r="D58">
        <f t="shared" si="2"/>
        <v>55.956315000000004</v>
      </c>
      <c r="E58">
        <f t="shared" si="3"/>
        <v>55.958130000000004</v>
      </c>
      <c r="F58">
        <f t="shared" si="4"/>
        <v>56</v>
      </c>
      <c r="G58" s="4" t="b">
        <f t="shared" si="5"/>
        <v>1</v>
      </c>
    </row>
    <row r="59" spans="1:7" x14ac:dyDescent="0.3">
      <c r="A59">
        <f>analog_to_percentage[[#This Row],[Analog]]</f>
        <v>584</v>
      </c>
      <c r="B59">
        <f>analog_to_percentage[[#This Row],[Percentage]]</f>
        <v>57</v>
      </c>
      <c r="C59" s="4">
        <f t="shared" si="6"/>
        <v>11</v>
      </c>
      <c r="D59">
        <f t="shared" si="2"/>
        <v>57.030520000000003</v>
      </c>
      <c r="E59">
        <f t="shared" si="3"/>
        <v>57.032335000000003</v>
      </c>
      <c r="F59">
        <f t="shared" si="4"/>
        <v>57</v>
      </c>
      <c r="G59" s="4" t="b">
        <f t="shared" si="5"/>
        <v>1</v>
      </c>
    </row>
    <row r="60" spans="1:7" x14ac:dyDescent="0.3">
      <c r="A60">
        <f>analog_to_percentage[[#This Row],[Analog]]</f>
        <v>594</v>
      </c>
      <c r="B60">
        <f>analog_to_percentage[[#This Row],[Percentage]]</f>
        <v>58</v>
      </c>
      <c r="C60" s="4">
        <f t="shared" si="6"/>
        <v>10</v>
      </c>
      <c r="D60">
        <f t="shared" si="2"/>
        <v>58.007070000000006</v>
      </c>
      <c r="E60">
        <f t="shared" si="3"/>
        <v>58.008885000000006</v>
      </c>
      <c r="F60">
        <f t="shared" si="4"/>
        <v>58</v>
      </c>
      <c r="G60" s="4" t="b">
        <f t="shared" si="5"/>
        <v>1</v>
      </c>
    </row>
    <row r="61" spans="1:7" x14ac:dyDescent="0.3">
      <c r="A61">
        <f>analog_to_percentage[[#This Row],[Analog]]</f>
        <v>604</v>
      </c>
      <c r="B61">
        <f>analog_to_percentage[[#This Row],[Percentage]]</f>
        <v>59</v>
      </c>
      <c r="C61" s="4">
        <f t="shared" si="6"/>
        <v>10</v>
      </c>
      <c r="D61">
        <f t="shared" si="2"/>
        <v>58.983620000000002</v>
      </c>
      <c r="E61">
        <f t="shared" si="3"/>
        <v>58.985435000000003</v>
      </c>
      <c r="F61">
        <f t="shared" si="4"/>
        <v>59</v>
      </c>
      <c r="G61" s="4" t="b">
        <f t="shared" si="5"/>
        <v>1</v>
      </c>
    </row>
    <row r="62" spans="1:7" x14ac:dyDescent="0.3">
      <c r="A62">
        <f>analog_to_percentage[[#This Row],[Analog]]</f>
        <v>614</v>
      </c>
      <c r="B62">
        <f>analog_to_percentage[[#This Row],[Percentage]]</f>
        <v>60</v>
      </c>
      <c r="C62" s="4">
        <f t="shared" ref="C62:C102" si="7">(A62-A61)/(B62-B61)</f>
        <v>10</v>
      </c>
      <c r="D62">
        <f t="shared" ref="D62:D102" si="8">A62*$I$3</f>
        <v>59.960170000000005</v>
      </c>
      <c r="E62">
        <f t="shared" ref="E62:E102" si="9">D62+$I$4</f>
        <v>59.961985000000006</v>
      </c>
      <c r="F62">
        <f t="shared" ref="F62:F102" si="10">FLOOR(E62,1)+ROUND($I$6*(E62-FLOOR(E62,1)),0)/$I$6</f>
        <v>60</v>
      </c>
      <c r="G62" s="4" t="b">
        <f t="shared" ref="G62:G102" si="11">$B62=F62</f>
        <v>1</v>
      </c>
    </row>
    <row r="63" spans="1:7" x14ac:dyDescent="0.3">
      <c r="A63">
        <f>analog_to_percentage[[#This Row],[Analog]]</f>
        <v>625</v>
      </c>
      <c r="B63">
        <f>analog_to_percentage[[#This Row],[Percentage]]</f>
        <v>61</v>
      </c>
      <c r="C63" s="4">
        <f t="shared" si="7"/>
        <v>11</v>
      </c>
      <c r="D63">
        <f t="shared" si="8"/>
        <v>61.034375000000004</v>
      </c>
      <c r="E63">
        <f t="shared" si="9"/>
        <v>61.036190000000005</v>
      </c>
      <c r="F63">
        <f t="shared" si="10"/>
        <v>61</v>
      </c>
      <c r="G63" s="4" t="b">
        <f t="shared" si="11"/>
        <v>1</v>
      </c>
    </row>
    <row r="64" spans="1:7" x14ac:dyDescent="0.3">
      <c r="A64">
        <f>analog_to_percentage[[#This Row],[Analog]]</f>
        <v>635</v>
      </c>
      <c r="B64">
        <f>analog_to_percentage[[#This Row],[Percentage]]</f>
        <v>62</v>
      </c>
      <c r="C64" s="4">
        <f t="shared" si="7"/>
        <v>10</v>
      </c>
      <c r="D64">
        <f t="shared" si="8"/>
        <v>62.010925</v>
      </c>
      <c r="E64">
        <f t="shared" si="9"/>
        <v>62.012740000000001</v>
      </c>
      <c r="F64">
        <f t="shared" si="10"/>
        <v>62</v>
      </c>
      <c r="G64" s="4" t="b">
        <f t="shared" si="11"/>
        <v>1</v>
      </c>
    </row>
    <row r="65" spans="1:7" x14ac:dyDescent="0.3">
      <c r="A65">
        <f>analog_to_percentage[[#This Row],[Analog]]</f>
        <v>645</v>
      </c>
      <c r="B65">
        <f>analog_to_percentage[[#This Row],[Percentage]]</f>
        <v>63</v>
      </c>
      <c r="C65" s="4">
        <f t="shared" si="7"/>
        <v>10</v>
      </c>
      <c r="D65">
        <f t="shared" si="8"/>
        <v>62.987475000000003</v>
      </c>
      <c r="E65">
        <f t="shared" si="9"/>
        <v>62.989290000000004</v>
      </c>
      <c r="F65">
        <f t="shared" si="10"/>
        <v>63</v>
      </c>
      <c r="G65" s="4" t="b">
        <f t="shared" si="11"/>
        <v>1</v>
      </c>
    </row>
    <row r="66" spans="1:7" x14ac:dyDescent="0.3">
      <c r="A66">
        <f>analog_to_percentage[[#This Row],[Analog]]</f>
        <v>655</v>
      </c>
      <c r="B66">
        <f>analog_to_percentage[[#This Row],[Percentage]]</f>
        <v>64</v>
      </c>
      <c r="C66" s="4">
        <f t="shared" si="7"/>
        <v>10</v>
      </c>
      <c r="D66">
        <f t="shared" si="8"/>
        <v>63.964025000000007</v>
      </c>
      <c r="E66">
        <f t="shared" si="9"/>
        <v>63.965840000000007</v>
      </c>
      <c r="F66">
        <f t="shared" si="10"/>
        <v>64</v>
      </c>
      <c r="G66" s="4" t="b">
        <f t="shared" si="11"/>
        <v>1</v>
      </c>
    </row>
    <row r="67" spans="1:7" x14ac:dyDescent="0.3">
      <c r="A67">
        <f>analog_to_percentage[[#This Row],[Analog]]</f>
        <v>666</v>
      </c>
      <c r="B67">
        <f>analog_to_percentage[[#This Row],[Percentage]]</f>
        <v>65</v>
      </c>
      <c r="C67" s="4">
        <f t="shared" si="7"/>
        <v>11</v>
      </c>
      <c r="D67">
        <f t="shared" si="8"/>
        <v>65.038229999999999</v>
      </c>
      <c r="E67">
        <f t="shared" si="9"/>
        <v>65.040044999999992</v>
      </c>
      <c r="F67">
        <f t="shared" si="10"/>
        <v>65</v>
      </c>
      <c r="G67" s="4" t="b">
        <f t="shared" si="11"/>
        <v>1</v>
      </c>
    </row>
    <row r="68" spans="1:7" x14ac:dyDescent="0.3">
      <c r="A68">
        <f>analog_to_percentage[[#This Row],[Analog]]</f>
        <v>676</v>
      </c>
      <c r="B68">
        <f>analog_to_percentage[[#This Row],[Percentage]]</f>
        <v>66</v>
      </c>
      <c r="C68" s="4">
        <f t="shared" si="7"/>
        <v>10</v>
      </c>
      <c r="D68">
        <f t="shared" si="8"/>
        <v>66.014780000000002</v>
      </c>
      <c r="E68">
        <f t="shared" si="9"/>
        <v>66.016594999999995</v>
      </c>
      <c r="F68">
        <f t="shared" si="10"/>
        <v>66</v>
      </c>
      <c r="G68" s="4" t="b">
        <f t="shared" si="11"/>
        <v>1</v>
      </c>
    </row>
    <row r="69" spans="1:7" x14ac:dyDescent="0.3">
      <c r="A69">
        <f>analog_to_percentage[[#This Row],[Analog]]</f>
        <v>686</v>
      </c>
      <c r="B69">
        <f>analog_to_percentage[[#This Row],[Percentage]]</f>
        <v>67</v>
      </c>
      <c r="C69" s="4">
        <f t="shared" si="7"/>
        <v>10</v>
      </c>
      <c r="D69">
        <f t="shared" si="8"/>
        <v>66.991330000000005</v>
      </c>
      <c r="E69">
        <f t="shared" si="9"/>
        <v>66.993144999999998</v>
      </c>
      <c r="F69">
        <f t="shared" si="10"/>
        <v>67</v>
      </c>
      <c r="G69" s="4" t="b">
        <f t="shared" si="11"/>
        <v>1</v>
      </c>
    </row>
    <row r="70" spans="1:7" x14ac:dyDescent="0.3">
      <c r="A70">
        <f>analog_to_percentage[[#This Row],[Analog]]</f>
        <v>696</v>
      </c>
      <c r="B70">
        <f>analog_to_percentage[[#This Row],[Percentage]]</f>
        <v>68</v>
      </c>
      <c r="C70" s="4">
        <f t="shared" si="7"/>
        <v>10</v>
      </c>
      <c r="D70">
        <f t="shared" si="8"/>
        <v>67.967880000000008</v>
      </c>
      <c r="E70">
        <f t="shared" si="9"/>
        <v>67.969695000000002</v>
      </c>
      <c r="F70">
        <f t="shared" si="10"/>
        <v>68</v>
      </c>
      <c r="G70" s="4" t="b">
        <f t="shared" si="11"/>
        <v>1</v>
      </c>
    </row>
    <row r="71" spans="1:7" x14ac:dyDescent="0.3">
      <c r="A71">
        <f>analog_to_percentage[[#This Row],[Analog]]</f>
        <v>707</v>
      </c>
      <c r="B71">
        <f>analog_to_percentage[[#This Row],[Percentage]]</f>
        <v>69</v>
      </c>
      <c r="C71" s="4">
        <f t="shared" si="7"/>
        <v>11</v>
      </c>
      <c r="D71">
        <f t="shared" si="8"/>
        <v>69.042085</v>
      </c>
      <c r="E71">
        <f t="shared" si="9"/>
        <v>69.043899999999994</v>
      </c>
      <c r="F71">
        <f t="shared" si="10"/>
        <v>69</v>
      </c>
      <c r="G71" s="4" t="b">
        <f t="shared" si="11"/>
        <v>1</v>
      </c>
    </row>
    <row r="72" spans="1:7" x14ac:dyDescent="0.3">
      <c r="A72">
        <f>analog_to_percentage[[#This Row],[Analog]]</f>
        <v>717</v>
      </c>
      <c r="B72">
        <f>analog_to_percentage[[#This Row],[Percentage]]</f>
        <v>70</v>
      </c>
      <c r="C72" s="4">
        <f t="shared" si="7"/>
        <v>10</v>
      </c>
      <c r="D72">
        <f t="shared" si="8"/>
        <v>70.018635000000003</v>
      </c>
      <c r="E72">
        <f t="shared" si="9"/>
        <v>70.020449999999997</v>
      </c>
      <c r="F72">
        <f t="shared" si="10"/>
        <v>70</v>
      </c>
      <c r="G72" s="4" t="b">
        <f t="shared" si="11"/>
        <v>1</v>
      </c>
    </row>
    <row r="73" spans="1:7" x14ac:dyDescent="0.3">
      <c r="A73">
        <f>analog_to_percentage[[#This Row],[Analog]]</f>
        <v>727</v>
      </c>
      <c r="B73">
        <f>analog_to_percentage[[#This Row],[Percentage]]</f>
        <v>71</v>
      </c>
      <c r="C73" s="4">
        <f t="shared" si="7"/>
        <v>10</v>
      </c>
      <c r="D73">
        <f t="shared" si="8"/>
        <v>70.995185000000006</v>
      </c>
      <c r="E73">
        <f t="shared" si="9"/>
        <v>70.997</v>
      </c>
      <c r="F73">
        <f t="shared" si="10"/>
        <v>71</v>
      </c>
      <c r="G73" s="4" t="b">
        <f t="shared" si="11"/>
        <v>1</v>
      </c>
    </row>
    <row r="74" spans="1:7" x14ac:dyDescent="0.3">
      <c r="A74">
        <f>analog_to_percentage[[#This Row],[Analog]]</f>
        <v>737</v>
      </c>
      <c r="B74">
        <f>analog_to_percentage[[#This Row],[Percentage]]</f>
        <v>72</v>
      </c>
      <c r="C74" s="4">
        <f t="shared" si="7"/>
        <v>10</v>
      </c>
      <c r="D74">
        <f t="shared" si="8"/>
        <v>71.97173500000001</v>
      </c>
      <c r="E74">
        <f t="shared" si="9"/>
        <v>71.973550000000003</v>
      </c>
      <c r="F74">
        <f t="shared" si="10"/>
        <v>72</v>
      </c>
      <c r="G74" s="4" t="b">
        <f t="shared" si="11"/>
        <v>1</v>
      </c>
    </row>
    <row r="75" spans="1:7" x14ac:dyDescent="0.3">
      <c r="A75">
        <f>analog_to_percentage[[#This Row],[Analog]]</f>
        <v>748</v>
      </c>
      <c r="B75">
        <f>analog_to_percentage[[#This Row],[Percentage]]</f>
        <v>73</v>
      </c>
      <c r="C75" s="4">
        <f t="shared" si="7"/>
        <v>11</v>
      </c>
      <c r="D75">
        <f t="shared" si="8"/>
        <v>73.045940000000002</v>
      </c>
      <c r="E75">
        <f t="shared" si="9"/>
        <v>73.047754999999995</v>
      </c>
      <c r="F75">
        <f t="shared" si="10"/>
        <v>73</v>
      </c>
      <c r="G75" s="4" t="b">
        <f t="shared" si="11"/>
        <v>1</v>
      </c>
    </row>
    <row r="76" spans="1:7" x14ac:dyDescent="0.3">
      <c r="A76">
        <f>analog_to_percentage[[#This Row],[Analog]]</f>
        <v>758</v>
      </c>
      <c r="B76">
        <f>analog_to_percentage[[#This Row],[Percentage]]</f>
        <v>74</v>
      </c>
      <c r="C76" s="4">
        <f t="shared" si="7"/>
        <v>10</v>
      </c>
      <c r="D76">
        <f t="shared" si="8"/>
        <v>74.022490000000005</v>
      </c>
      <c r="E76">
        <f t="shared" si="9"/>
        <v>74.024304999999998</v>
      </c>
      <c r="F76">
        <f t="shared" si="10"/>
        <v>74</v>
      </c>
      <c r="G76" s="4" t="b">
        <f t="shared" si="11"/>
        <v>1</v>
      </c>
    </row>
    <row r="77" spans="1:7" x14ac:dyDescent="0.3">
      <c r="A77">
        <f>analog_to_percentage[[#This Row],[Analog]]</f>
        <v>768</v>
      </c>
      <c r="B77">
        <f>analog_to_percentage[[#This Row],[Percentage]]</f>
        <v>75</v>
      </c>
      <c r="C77" s="4">
        <f t="shared" si="7"/>
        <v>10</v>
      </c>
      <c r="D77">
        <f t="shared" si="8"/>
        <v>74.999040000000008</v>
      </c>
      <c r="E77">
        <f t="shared" si="9"/>
        <v>75.000855000000001</v>
      </c>
      <c r="F77">
        <f t="shared" si="10"/>
        <v>75</v>
      </c>
      <c r="G77" s="4" t="b">
        <f t="shared" si="11"/>
        <v>1</v>
      </c>
    </row>
    <row r="78" spans="1:7" x14ac:dyDescent="0.3">
      <c r="A78">
        <f>analog_to_percentage[[#This Row],[Analog]]</f>
        <v>778</v>
      </c>
      <c r="B78">
        <f>analog_to_percentage[[#This Row],[Percentage]]</f>
        <v>76</v>
      </c>
      <c r="C78" s="4">
        <f t="shared" si="7"/>
        <v>10</v>
      </c>
      <c r="D78">
        <f t="shared" si="8"/>
        <v>75.975590000000011</v>
      </c>
      <c r="E78">
        <f t="shared" si="9"/>
        <v>75.977405000000005</v>
      </c>
      <c r="F78">
        <f t="shared" si="10"/>
        <v>76</v>
      </c>
      <c r="G78" s="4" t="b">
        <f t="shared" si="11"/>
        <v>1</v>
      </c>
    </row>
    <row r="79" spans="1:7" x14ac:dyDescent="0.3">
      <c r="A79">
        <f>analog_to_percentage[[#This Row],[Analog]]</f>
        <v>788</v>
      </c>
      <c r="B79">
        <f>analog_to_percentage[[#This Row],[Percentage]]</f>
        <v>77</v>
      </c>
      <c r="C79" s="4">
        <f t="shared" si="7"/>
        <v>10</v>
      </c>
      <c r="D79">
        <f t="shared" si="8"/>
        <v>76.95214</v>
      </c>
      <c r="E79">
        <f t="shared" si="9"/>
        <v>76.953954999999993</v>
      </c>
      <c r="F79">
        <f t="shared" si="10"/>
        <v>77</v>
      </c>
      <c r="G79" s="4" t="b">
        <f t="shared" si="11"/>
        <v>1</v>
      </c>
    </row>
    <row r="80" spans="1:7" x14ac:dyDescent="0.3">
      <c r="A80">
        <f>analog_to_percentage[[#This Row],[Analog]]</f>
        <v>799</v>
      </c>
      <c r="B80">
        <f>analog_to_percentage[[#This Row],[Percentage]]</f>
        <v>78</v>
      </c>
      <c r="C80" s="4">
        <f t="shared" si="7"/>
        <v>11</v>
      </c>
      <c r="D80">
        <f t="shared" si="8"/>
        <v>78.026345000000006</v>
      </c>
      <c r="E80">
        <f t="shared" si="9"/>
        <v>78.02816</v>
      </c>
      <c r="F80">
        <f t="shared" si="10"/>
        <v>78</v>
      </c>
      <c r="G80" s="4" t="b">
        <f t="shared" si="11"/>
        <v>1</v>
      </c>
    </row>
    <row r="81" spans="1:7" x14ac:dyDescent="0.3">
      <c r="A81">
        <f>analog_to_percentage[[#This Row],[Analog]]</f>
        <v>809</v>
      </c>
      <c r="B81">
        <f>analog_to_percentage[[#This Row],[Percentage]]</f>
        <v>79</v>
      </c>
      <c r="C81" s="4">
        <f t="shared" si="7"/>
        <v>10</v>
      </c>
      <c r="D81">
        <f t="shared" si="8"/>
        <v>79.002895000000009</v>
      </c>
      <c r="E81">
        <f t="shared" si="9"/>
        <v>79.004710000000003</v>
      </c>
      <c r="F81">
        <f t="shared" si="10"/>
        <v>79</v>
      </c>
      <c r="G81" s="4" t="b">
        <f t="shared" si="11"/>
        <v>1</v>
      </c>
    </row>
    <row r="82" spans="1:7" x14ac:dyDescent="0.3">
      <c r="A82">
        <f>analog_to_percentage[[#This Row],[Analog]]</f>
        <v>819</v>
      </c>
      <c r="B82">
        <f>analog_to_percentage[[#This Row],[Percentage]]</f>
        <v>80</v>
      </c>
      <c r="C82" s="4">
        <f t="shared" si="7"/>
        <v>10</v>
      </c>
      <c r="D82">
        <f t="shared" si="8"/>
        <v>79.979444999999998</v>
      </c>
      <c r="E82">
        <f t="shared" si="9"/>
        <v>79.981259999999992</v>
      </c>
      <c r="F82">
        <f t="shared" si="10"/>
        <v>80</v>
      </c>
      <c r="G82" s="4" t="b">
        <f t="shared" si="11"/>
        <v>1</v>
      </c>
    </row>
    <row r="83" spans="1:7" x14ac:dyDescent="0.3">
      <c r="A83">
        <f>analog_to_percentage[[#This Row],[Analog]]</f>
        <v>829</v>
      </c>
      <c r="B83">
        <f>analog_to_percentage[[#This Row],[Percentage]]</f>
        <v>81</v>
      </c>
      <c r="C83" s="4">
        <f t="shared" si="7"/>
        <v>10</v>
      </c>
      <c r="D83">
        <f t="shared" si="8"/>
        <v>80.955995000000001</v>
      </c>
      <c r="E83">
        <f t="shared" si="9"/>
        <v>80.957809999999995</v>
      </c>
      <c r="F83">
        <f t="shared" si="10"/>
        <v>81</v>
      </c>
      <c r="G83" s="4" t="b">
        <f t="shared" si="11"/>
        <v>1</v>
      </c>
    </row>
    <row r="84" spans="1:7" x14ac:dyDescent="0.3">
      <c r="A84">
        <f>analog_to_percentage[[#This Row],[Analog]]</f>
        <v>840</v>
      </c>
      <c r="B84">
        <f>analog_to_percentage[[#This Row],[Percentage]]</f>
        <v>82</v>
      </c>
      <c r="C84" s="4">
        <f t="shared" si="7"/>
        <v>11</v>
      </c>
      <c r="D84">
        <f t="shared" si="8"/>
        <v>82.030200000000008</v>
      </c>
      <c r="E84">
        <f t="shared" si="9"/>
        <v>82.032015000000001</v>
      </c>
      <c r="F84">
        <f t="shared" si="10"/>
        <v>82</v>
      </c>
      <c r="G84" s="4" t="b">
        <f t="shared" si="11"/>
        <v>1</v>
      </c>
    </row>
    <row r="85" spans="1:7" x14ac:dyDescent="0.3">
      <c r="A85">
        <f>analog_to_percentage[[#This Row],[Analog]]</f>
        <v>850</v>
      </c>
      <c r="B85">
        <f>analog_to_percentage[[#This Row],[Percentage]]</f>
        <v>83</v>
      </c>
      <c r="C85" s="4">
        <f t="shared" si="7"/>
        <v>10</v>
      </c>
      <c r="D85">
        <f t="shared" si="8"/>
        <v>83.006750000000011</v>
      </c>
      <c r="E85">
        <f t="shared" si="9"/>
        <v>83.008565000000004</v>
      </c>
      <c r="F85">
        <f t="shared" si="10"/>
        <v>83</v>
      </c>
      <c r="G85" s="4" t="b">
        <f t="shared" si="11"/>
        <v>1</v>
      </c>
    </row>
    <row r="86" spans="1:7" x14ac:dyDescent="0.3">
      <c r="A86">
        <f>analog_to_percentage[[#This Row],[Analog]]</f>
        <v>860</v>
      </c>
      <c r="B86">
        <f>analog_to_percentage[[#This Row],[Percentage]]</f>
        <v>84</v>
      </c>
      <c r="C86" s="4">
        <f t="shared" si="7"/>
        <v>10</v>
      </c>
      <c r="D86">
        <f t="shared" si="8"/>
        <v>83.9833</v>
      </c>
      <c r="E86">
        <f t="shared" si="9"/>
        <v>83.985114999999993</v>
      </c>
      <c r="F86">
        <f t="shared" si="10"/>
        <v>84</v>
      </c>
      <c r="G86" s="4" t="b">
        <f t="shared" si="11"/>
        <v>1</v>
      </c>
    </row>
    <row r="87" spans="1:7" x14ac:dyDescent="0.3">
      <c r="A87">
        <f>analog_to_percentage[[#This Row],[Analog]]</f>
        <v>870</v>
      </c>
      <c r="B87">
        <f>analog_to_percentage[[#This Row],[Percentage]]</f>
        <v>85</v>
      </c>
      <c r="C87" s="4">
        <f t="shared" si="7"/>
        <v>10</v>
      </c>
      <c r="D87">
        <f t="shared" si="8"/>
        <v>84.959850000000003</v>
      </c>
      <c r="E87">
        <f t="shared" si="9"/>
        <v>84.961664999999996</v>
      </c>
      <c r="F87">
        <f t="shared" si="10"/>
        <v>85</v>
      </c>
      <c r="G87" s="4" t="b">
        <f t="shared" si="11"/>
        <v>1</v>
      </c>
    </row>
    <row r="88" spans="1:7" x14ac:dyDescent="0.3">
      <c r="A88">
        <f>analog_to_percentage[[#This Row],[Analog]]</f>
        <v>881</v>
      </c>
      <c r="B88">
        <f>analog_to_percentage[[#This Row],[Percentage]]</f>
        <v>86</v>
      </c>
      <c r="C88" s="4">
        <f t="shared" si="7"/>
        <v>11</v>
      </c>
      <c r="D88">
        <f t="shared" si="8"/>
        <v>86.034055000000009</v>
      </c>
      <c r="E88">
        <f t="shared" si="9"/>
        <v>86.035870000000003</v>
      </c>
      <c r="F88">
        <f t="shared" si="10"/>
        <v>86</v>
      </c>
      <c r="G88" s="4" t="b">
        <f t="shared" si="11"/>
        <v>1</v>
      </c>
    </row>
    <row r="89" spans="1:7" x14ac:dyDescent="0.3">
      <c r="A89">
        <f>analog_to_percentage[[#This Row],[Analog]]</f>
        <v>891</v>
      </c>
      <c r="B89">
        <f>analog_to_percentage[[#This Row],[Percentage]]</f>
        <v>87</v>
      </c>
      <c r="C89" s="4">
        <f t="shared" si="7"/>
        <v>10</v>
      </c>
      <c r="D89">
        <f t="shared" si="8"/>
        <v>87.010604999999998</v>
      </c>
      <c r="E89">
        <f t="shared" si="9"/>
        <v>87.012419999999992</v>
      </c>
      <c r="F89">
        <f t="shared" si="10"/>
        <v>87</v>
      </c>
      <c r="G89" s="4" t="b">
        <f t="shared" si="11"/>
        <v>1</v>
      </c>
    </row>
    <row r="90" spans="1:7" x14ac:dyDescent="0.3">
      <c r="A90">
        <f>analog_to_percentage[[#This Row],[Analog]]</f>
        <v>901</v>
      </c>
      <c r="B90">
        <f>analog_to_percentage[[#This Row],[Percentage]]</f>
        <v>88</v>
      </c>
      <c r="C90" s="4">
        <f t="shared" si="7"/>
        <v>10</v>
      </c>
      <c r="D90">
        <f t="shared" si="8"/>
        <v>87.987155000000001</v>
      </c>
      <c r="E90">
        <f t="shared" si="9"/>
        <v>87.988969999999995</v>
      </c>
      <c r="F90">
        <f t="shared" si="10"/>
        <v>88</v>
      </c>
      <c r="G90" s="4" t="b">
        <f t="shared" si="11"/>
        <v>1</v>
      </c>
    </row>
    <row r="91" spans="1:7" x14ac:dyDescent="0.3">
      <c r="A91">
        <f>analog_to_percentage[[#This Row],[Analog]]</f>
        <v>911</v>
      </c>
      <c r="B91">
        <f>analog_to_percentage[[#This Row],[Percentage]]</f>
        <v>89</v>
      </c>
      <c r="C91" s="4">
        <f t="shared" si="7"/>
        <v>10</v>
      </c>
      <c r="D91">
        <f t="shared" si="8"/>
        <v>88.963705000000004</v>
      </c>
      <c r="E91">
        <f t="shared" si="9"/>
        <v>88.965519999999998</v>
      </c>
      <c r="F91">
        <f t="shared" si="10"/>
        <v>89</v>
      </c>
      <c r="G91" s="4" t="b">
        <f t="shared" si="11"/>
        <v>1</v>
      </c>
    </row>
    <row r="92" spans="1:7" x14ac:dyDescent="0.3">
      <c r="A92">
        <f>analog_to_percentage[[#This Row],[Analog]]</f>
        <v>922</v>
      </c>
      <c r="B92">
        <f>analog_to_percentage[[#This Row],[Percentage]]</f>
        <v>90</v>
      </c>
      <c r="C92" s="4">
        <f t="shared" si="7"/>
        <v>11</v>
      </c>
      <c r="D92">
        <f t="shared" si="8"/>
        <v>90.037910000000011</v>
      </c>
      <c r="E92">
        <f t="shared" si="9"/>
        <v>90.039725000000004</v>
      </c>
      <c r="F92">
        <f t="shared" si="10"/>
        <v>90</v>
      </c>
      <c r="G92" s="4" t="b">
        <f t="shared" si="11"/>
        <v>1</v>
      </c>
    </row>
    <row r="93" spans="1:7" x14ac:dyDescent="0.3">
      <c r="A93">
        <f>analog_to_percentage[[#This Row],[Analog]]</f>
        <v>932</v>
      </c>
      <c r="B93">
        <f>analog_to_percentage[[#This Row],[Percentage]]</f>
        <v>91</v>
      </c>
      <c r="C93" s="4">
        <f t="shared" si="7"/>
        <v>10</v>
      </c>
      <c r="D93">
        <f t="shared" si="8"/>
        <v>91.01446</v>
      </c>
      <c r="E93">
        <f t="shared" si="9"/>
        <v>91.016274999999993</v>
      </c>
      <c r="F93">
        <f t="shared" si="10"/>
        <v>91</v>
      </c>
      <c r="G93" s="4" t="b">
        <f t="shared" si="11"/>
        <v>1</v>
      </c>
    </row>
    <row r="94" spans="1:7" x14ac:dyDescent="0.3">
      <c r="A94">
        <f>analog_to_percentage[[#This Row],[Analog]]</f>
        <v>942</v>
      </c>
      <c r="B94">
        <f>analog_to_percentage[[#This Row],[Percentage]]</f>
        <v>92</v>
      </c>
      <c r="C94" s="4">
        <f t="shared" si="7"/>
        <v>10</v>
      </c>
      <c r="D94">
        <f t="shared" si="8"/>
        <v>91.991010000000003</v>
      </c>
      <c r="E94">
        <f t="shared" si="9"/>
        <v>91.992824999999996</v>
      </c>
      <c r="F94">
        <f t="shared" si="10"/>
        <v>92</v>
      </c>
      <c r="G94" s="4" t="b">
        <f t="shared" si="11"/>
        <v>1</v>
      </c>
    </row>
    <row r="95" spans="1:7" x14ac:dyDescent="0.3">
      <c r="A95">
        <f>analog_to_percentage[[#This Row],[Analog]]</f>
        <v>952</v>
      </c>
      <c r="B95">
        <f>analog_to_percentage[[#This Row],[Percentage]]</f>
        <v>93</v>
      </c>
      <c r="C95" s="4">
        <f t="shared" si="7"/>
        <v>10</v>
      </c>
      <c r="D95">
        <f t="shared" si="8"/>
        <v>92.967560000000006</v>
      </c>
      <c r="E95">
        <f t="shared" si="9"/>
        <v>92.969374999999999</v>
      </c>
      <c r="F95">
        <f t="shared" si="10"/>
        <v>93</v>
      </c>
      <c r="G95" s="4" t="b">
        <f t="shared" si="11"/>
        <v>1</v>
      </c>
    </row>
    <row r="96" spans="1:7" x14ac:dyDescent="0.3">
      <c r="A96">
        <f>analog_to_percentage[[#This Row],[Analog]]</f>
        <v>963</v>
      </c>
      <c r="B96">
        <f>analog_to_percentage[[#This Row],[Percentage]]</f>
        <v>94</v>
      </c>
      <c r="C96" s="4">
        <f t="shared" si="7"/>
        <v>11</v>
      </c>
      <c r="D96">
        <f t="shared" si="8"/>
        <v>94.041765000000012</v>
      </c>
      <c r="E96">
        <f t="shared" si="9"/>
        <v>94.043580000000006</v>
      </c>
      <c r="F96">
        <f t="shared" si="10"/>
        <v>94</v>
      </c>
      <c r="G96" s="4" t="b">
        <f t="shared" si="11"/>
        <v>1</v>
      </c>
    </row>
    <row r="97" spans="1:7" x14ac:dyDescent="0.3">
      <c r="A97">
        <f>analog_to_percentage[[#This Row],[Analog]]</f>
        <v>973</v>
      </c>
      <c r="B97">
        <f>analog_to_percentage[[#This Row],[Percentage]]</f>
        <v>95</v>
      </c>
      <c r="C97" s="4">
        <f t="shared" si="7"/>
        <v>10</v>
      </c>
      <c r="D97">
        <f t="shared" si="8"/>
        <v>95.018315000000001</v>
      </c>
      <c r="E97">
        <f t="shared" si="9"/>
        <v>95.020129999999995</v>
      </c>
      <c r="F97">
        <f t="shared" si="10"/>
        <v>95</v>
      </c>
      <c r="G97" s="4" t="b">
        <f t="shared" si="11"/>
        <v>1</v>
      </c>
    </row>
    <row r="98" spans="1:7" x14ac:dyDescent="0.3">
      <c r="A98">
        <f>analog_to_percentage[[#This Row],[Analog]]</f>
        <v>983</v>
      </c>
      <c r="B98">
        <f>analog_to_percentage[[#This Row],[Percentage]]</f>
        <v>96</v>
      </c>
      <c r="C98" s="4">
        <f t="shared" si="7"/>
        <v>10</v>
      </c>
      <c r="D98">
        <f t="shared" si="8"/>
        <v>95.994865000000004</v>
      </c>
      <c r="E98">
        <f t="shared" si="9"/>
        <v>95.996679999999998</v>
      </c>
      <c r="F98">
        <f t="shared" si="10"/>
        <v>96</v>
      </c>
      <c r="G98" s="4" t="b">
        <f t="shared" si="11"/>
        <v>1</v>
      </c>
    </row>
    <row r="99" spans="1:7" x14ac:dyDescent="0.3">
      <c r="A99">
        <f>analog_to_percentage[[#This Row],[Analog]]</f>
        <v>993</v>
      </c>
      <c r="B99">
        <f>analog_to_percentage[[#This Row],[Percentage]]</f>
        <v>97</v>
      </c>
      <c r="C99" s="4">
        <f t="shared" si="7"/>
        <v>10</v>
      </c>
      <c r="D99">
        <f t="shared" si="8"/>
        <v>96.971415000000007</v>
      </c>
      <c r="E99">
        <f t="shared" si="9"/>
        <v>96.973230000000001</v>
      </c>
      <c r="F99">
        <f t="shared" si="10"/>
        <v>97</v>
      </c>
      <c r="G99" s="4" t="b">
        <f t="shared" si="11"/>
        <v>1</v>
      </c>
    </row>
    <row r="100" spans="1:7" x14ac:dyDescent="0.3">
      <c r="A100">
        <f>analog_to_percentage[[#This Row],[Analog]]</f>
        <v>1004</v>
      </c>
      <c r="B100">
        <f>analog_to_percentage[[#This Row],[Percentage]]</f>
        <v>98</v>
      </c>
      <c r="C100" s="4">
        <f t="shared" si="7"/>
        <v>11</v>
      </c>
      <c r="D100">
        <f t="shared" si="8"/>
        <v>98.04562</v>
      </c>
      <c r="E100">
        <f t="shared" si="9"/>
        <v>98.047434999999993</v>
      </c>
      <c r="F100">
        <f t="shared" si="10"/>
        <v>98</v>
      </c>
      <c r="G100" s="4" t="b">
        <f t="shared" si="11"/>
        <v>1</v>
      </c>
    </row>
    <row r="101" spans="1:7" x14ac:dyDescent="0.3">
      <c r="A101">
        <f>analog_to_percentage[[#This Row],[Analog]]</f>
        <v>1014</v>
      </c>
      <c r="B101">
        <f>analog_to_percentage[[#This Row],[Percentage]]</f>
        <v>99</v>
      </c>
      <c r="C101" s="4">
        <f t="shared" si="7"/>
        <v>10</v>
      </c>
      <c r="D101">
        <f t="shared" si="8"/>
        <v>99.022170000000003</v>
      </c>
      <c r="E101">
        <f t="shared" si="9"/>
        <v>99.023984999999996</v>
      </c>
      <c r="F101">
        <f t="shared" si="10"/>
        <v>99</v>
      </c>
      <c r="G101" s="4" t="b">
        <f t="shared" si="11"/>
        <v>1</v>
      </c>
    </row>
    <row r="102" spans="1:7" x14ac:dyDescent="0.3">
      <c r="A102">
        <f>analog_to_percentage[[#This Row],[Analog]]</f>
        <v>1023</v>
      </c>
      <c r="B102">
        <f>analog_to_percentage[[#This Row],[Percentage]]</f>
        <v>100</v>
      </c>
      <c r="C102" s="4">
        <f t="shared" si="7"/>
        <v>9</v>
      </c>
      <c r="D102">
        <f t="shared" si="8"/>
        <v>99.901065000000003</v>
      </c>
      <c r="E102">
        <f t="shared" si="9"/>
        <v>99.902879999999996</v>
      </c>
      <c r="F102">
        <f t="shared" si="10"/>
        <v>100</v>
      </c>
      <c r="G102" s="4" t="b">
        <f t="shared" si="11"/>
        <v>1</v>
      </c>
    </row>
  </sheetData>
  <mergeCells count="2">
    <mergeCell ref="H1:I1"/>
    <mergeCell ref="J1:Q1"/>
  </mergeCells>
  <conditionalFormatting sqref="G1:G1048576">
    <cfRule type="expression" dxfId="0" priority="3">
      <formula>AND(G1&lt;&gt;"",G1=FALSE)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C21F-DA0F-45AE-A002-6487E4E61BE6}">
  <dimension ref="A1:B102"/>
  <sheetViews>
    <sheetView workbookViewId="0"/>
  </sheetViews>
  <sheetFormatPr defaultRowHeight="14.4" x14ac:dyDescent="0.3"/>
  <cols>
    <col min="1" max="1" width="8.77734375" bestFit="1" customWidth="1"/>
    <col min="2" max="2" width="12.5546875" bestFit="1" customWidth="1"/>
  </cols>
  <sheetData>
    <row r="1" spans="1:2" x14ac:dyDescent="0.3">
      <c r="A1" t="s">
        <v>9</v>
      </c>
      <c r="B1" t="s">
        <v>19</v>
      </c>
    </row>
    <row r="2" spans="1:2" x14ac:dyDescent="0.3">
      <c r="A2">
        <v>0</v>
      </c>
      <c r="B2">
        <v>0</v>
      </c>
    </row>
    <row r="3" spans="1:2" x14ac:dyDescent="0.3">
      <c r="A3">
        <v>10</v>
      </c>
      <c r="B3">
        <v>1</v>
      </c>
    </row>
    <row r="4" spans="1:2" x14ac:dyDescent="0.3">
      <c r="A4">
        <v>20</v>
      </c>
      <c r="B4">
        <v>2</v>
      </c>
    </row>
    <row r="5" spans="1:2" x14ac:dyDescent="0.3">
      <c r="A5">
        <v>31</v>
      </c>
      <c r="B5">
        <v>3</v>
      </c>
    </row>
    <row r="6" spans="1:2" x14ac:dyDescent="0.3">
      <c r="A6">
        <v>41</v>
      </c>
      <c r="B6">
        <v>4</v>
      </c>
    </row>
    <row r="7" spans="1:2" x14ac:dyDescent="0.3">
      <c r="A7">
        <v>51</v>
      </c>
      <c r="B7">
        <v>5</v>
      </c>
    </row>
    <row r="8" spans="1:2" x14ac:dyDescent="0.3">
      <c r="A8">
        <v>61</v>
      </c>
      <c r="B8">
        <v>6</v>
      </c>
    </row>
    <row r="9" spans="1:2" x14ac:dyDescent="0.3">
      <c r="A9">
        <v>72</v>
      </c>
      <c r="B9">
        <v>7</v>
      </c>
    </row>
    <row r="10" spans="1:2" x14ac:dyDescent="0.3">
      <c r="A10">
        <v>82</v>
      </c>
      <c r="B10">
        <v>8</v>
      </c>
    </row>
    <row r="11" spans="1:2" x14ac:dyDescent="0.3">
      <c r="A11">
        <v>92</v>
      </c>
      <c r="B11">
        <v>9</v>
      </c>
    </row>
    <row r="12" spans="1:2" x14ac:dyDescent="0.3">
      <c r="A12">
        <v>102</v>
      </c>
      <c r="B12">
        <v>10</v>
      </c>
    </row>
    <row r="13" spans="1:2" x14ac:dyDescent="0.3">
      <c r="A13">
        <v>113</v>
      </c>
      <c r="B13">
        <v>11</v>
      </c>
    </row>
    <row r="14" spans="1:2" x14ac:dyDescent="0.3">
      <c r="A14">
        <v>123</v>
      </c>
      <c r="B14">
        <v>12</v>
      </c>
    </row>
    <row r="15" spans="1:2" x14ac:dyDescent="0.3">
      <c r="A15">
        <v>133</v>
      </c>
      <c r="B15">
        <v>13</v>
      </c>
    </row>
    <row r="16" spans="1:2" x14ac:dyDescent="0.3">
      <c r="A16">
        <v>143</v>
      </c>
      <c r="B16">
        <v>14</v>
      </c>
    </row>
    <row r="17" spans="1:2" x14ac:dyDescent="0.3">
      <c r="A17">
        <v>154</v>
      </c>
      <c r="B17">
        <v>15</v>
      </c>
    </row>
    <row r="18" spans="1:2" x14ac:dyDescent="0.3">
      <c r="A18">
        <v>164</v>
      </c>
      <c r="B18">
        <v>16</v>
      </c>
    </row>
    <row r="19" spans="1:2" x14ac:dyDescent="0.3">
      <c r="A19">
        <v>174</v>
      </c>
      <c r="B19">
        <v>17</v>
      </c>
    </row>
    <row r="20" spans="1:2" x14ac:dyDescent="0.3">
      <c r="A20">
        <v>184</v>
      </c>
      <c r="B20">
        <v>18</v>
      </c>
    </row>
    <row r="21" spans="1:2" x14ac:dyDescent="0.3">
      <c r="A21">
        <v>195</v>
      </c>
      <c r="B21">
        <v>19</v>
      </c>
    </row>
    <row r="22" spans="1:2" x14ac:dyDescent="0.3">
      <c r="A22">
        <v>205</v>
      </c>
      <c r="B22">
        <v>20</v>
      </c>
    </row>
    <row r="23" spans="1:2" x14ac:dyDescent="0.3">
      <c r="A23">
        <v>215</v>
      </c>
      <c r="B23">
        <v>21</v>
      </c>
    </row>
    <row r="24" spans="1:2" x14ac:dyDescent="0.3">
      <c r="A24">
        <v>225</v>
      </c>
      <c r="B24">
        <v>22</v>
      </c>
    </row>
    <row r="25" spans="1:2" x14ac:dyDescent="0.3">
      <c r="A25">
        <v>236</v>
      </c>
      <c r="B25">
        <v>23</v>
      </c>
    </row>
    <row r="26" spans="1:2" x14ac:dyDescent="0.3">
      <c r="A26">
        <v>246</v>
      </c>
      <c r="B26">
        <v>24</v>
      </c>
    </row>
    <row r="27" spans="1:2" x14ac:dyDescent="0.3">
      <c r="A27">
        <v>256</v>
      </c>
      <c r="B27">
        <v>25</v>
      </c>
    </row>
    <row r="28" spans="1:2" x14ac:dyDescent="0.3">
      <c r="A28">
        <v>266</v>
      </c>
      <c r="B28">
        <v>26</v>
      </c>
    </row>
    <row r="29" spans="1:2" x14ac:dyDescent="0.3">
      <c r="A29">
        <v>276</v>
      </c>
      <c r="B29">
        <v>27</v>
      </c>
    </row>
    <row r="30" spans="1:2" x14ac:dyDescent="0.3">
      <c r="A30">
        <v>287</v>
      </c>
      <c r="B30">
        <v>28</v>
      </c>
    </row>
    <row r="31" spans="1:2" x14ac:dyDescent="0.3">
      <c r="A31">
        <v>297</v>
      </c>
      <c r="B31">
        <v>29</v>
      </c>
    </row>
    <row r="32" spans="1:2" x14ac:dyDescent="0.3">
      <c r="A32">
        <v>307</v>
      </c>
      <c r="B32">
        <v>30</v>
      </c>
    </row>
    <row r="33" spans="1:2" x14ac:dyDescent="0.3">
      <c r="A33">
        <v>317</v>
      </c>
      <c r="B33">
        <v>31</v>
      </c>
    </row>
    <row r="34" spans="1:2" x14ac:dyDescent="0.3">
      <c r="A34">
        <v>328</v>
      </c>
      <c r="B34">
        <v>32</v>
      </c>
    </row>
    <row r="35" spans="1:2" x14ac:dyDescent="0.3">
      <c r="A35">
        <v>338</v>
      </c>
      <c r="B35">
        <v>33</v>
      </c>
    </row>
    <row r="36" spans="1:2" x14ac:dyDescent="0.3">
      <c r="A36">
        <v>348</v>
      </c>
      <c r="B36">
        <v>34</v>
      </c>
    </row>
    <row r="37" spans="1:2" x14ac:dyDescent="0.3">
      <c r="A37">
        <v>358</v>
      </c>
      <c r="B37">
        <v>35</v>
      </c>
    </row>
    <row r="38" spans="1:2" x14ac:dyDescent="0.3">
      <c r="A38">
        <v>369</v>
      </c>
      <c r="B38">
        <v>36</v>
      </c>
    </row>
    <row r="39" spans="1:2" x14ac:dyDescent="0.3">
      <c r="A39">
        <v>379</v>
      </c>
      <c r="B39">
        <v>37</v>
      </c>
    </row>
    <row r="40" spans="1:2" x14ac:dyDescent="0.3">
      <c r="A40">
        <v>389</v>
      </c>
      <c r="B40">
        <v>38</v>
      </c>
    </row>
    <row r="41" spans="1:2" x14ac:dyDescent="0.3">
      <c r="A41">
        <v>399</v>
      </c>
      <c r="B41">
        <v>39</v>
      </c>
    </row>
    <row r="42" spans="1:2" x14ac:dyDescent="0.3">
      <c r="A42">
        <v>410</v>
      </c>
      <c r="B42">
        <v>40</v>
      </c>
    </row>
    <row r="43" spans="1:2" x14ac:dyDescent="0.3">
      <c r="A43">
        <v>420</v>
      </c>
      <c r="B43">
        <v>41</v>
      </c>
    </row>
    <row r="44" spans="1:2" x14ac:dyDescent="0.3">
      <c r="A44">
        <v>430</v>
      </c>
      <c r="B44">
        <v>42</v>
      </c>
    </row>
    <row r="45" spans="1:2" x14ac:dyDescent="0.3">
      <c r="A45">
        <v>440</v>
      </c>
      <c r="B45">
        <v>43</v>
      </c>
    </row>
    <row r="46" spans="1:2" x14ac:dyDescent="0.3">
      <c r="A46">
        <v>451</v>
      </c>
      <c r="B46">
        <v>44</v>
      </c>
    </row>
    <row r="47" spans="1:2" x14ac:dyDescent="0.3">
      <c r="A47">
        <v>461</v>
      </c>
      <c r="B47">
        <v>45</v>
      </c>
    </row>
    <row r="48" spans="1:2" x14ac:dyDescent="0.3">
      <c r="A48">
        <v>471</v>
      </c>
      <c r="B48">
        <v>46</v>
      </c>
    </row>
    <row r="49" spans="1:2" x14ac:dyDescent="0.3">
      <c r="A49">
        <v>481</v>
      </c>
      <c r="B49">
        <v>47</v>
      </c>
    </row>
    <row r="50" spans="1:2" x14ac:dyDescent="0.3">
      <c r="A50">
        <v>492</v>
      </c>
      <c r="B50">
        <v>48</v>
      </c>
    </row>
    <row r="51" spans="1:2" x14ac:dyDescent="0.3">
      <c r="A51">
        <v>502</v>
      </c>
      <c r="B51">
        <v>49</v>
      </c>
    </row>
    <row r="52" spans="1:2" x14ac:dyDescent="0.3">
      <c r="A52">
        <v>512</v>
      </c>
      <c r="B52">
        <v>50</v>
      </c>
    </row>
    <row r="53" spans="1:2" x14ac:dyDescent="0.3">
      <c r="A53">
        <v>522</v>
      </c>
      <c r="B53">
        <v>51</v>
      </c>
    </row>
    <row r="54" spans="1:2" x14ac:dyDescent="0.3">
      <c r="A54">
        <v>532</v>
      </c>
      <c r="B54">
        <v>52</v>
      </c>
    </row>
    <row r="55" spans="1:2" x14ac:dyDescent="0.3">
      <c r="A55">
        <v>543</v>
      </c>
      <c r="B55">
        <v>53</v>
      </c>
    </row>
    <row r="56" spans="1:2" x14ac:dyDescent="0.3">
      <c r="A56">
        <v>553</v>
      </c>
      <c r="B56">
        <v>54</v>
      </c>
    </row>
    <row r="57" spans="1:2" x14ac:dyDescent="0.3">
      <c r="A57">
        <v>563</v>
      </c>
      <c r="B57">
        <v>55</v>
      </c>
    </row>
    <row r="58" spans="1:2" x14ac:dyDescent="0.3">
      <c r="A58">
        <v>573</v>
      </c>
      <c r="B58">
        <v>56</v>
      </c>
    </row>
    <row r="59" spans="1:2" x14ac:dyDescent="0.3">
      <c r="A59">
        <v>584</v>
      </c>
      <c r="B59">
        <v>57</v>
      </c>
    </row>
    <row r="60" spans="1:2" x14ac:dyDescent="0.3">
      <c r="A60">
        <v>594</v>
      </c>
      <c r="B60">
        <v>58</v>
      </c>
    </row>
    <row r="61" spans="1:2" x14ac:dyDescent="0.3">
      <c r="A61">
        <v>604</v>
      </c>
      <c r="B61">
        <v>59</v>
      </c>
    </row>
    <row r="62" spans="1:2" x14ac:dyDescent="0.3">
      <c r="A62">
        <v>614</v>
      </c>
      <c r="B62">
        <v>60</v>
      </c>
    </row>
    <row r="63" spans="1:2" x14ac:dyDescent="0.3">
      <c r="A63">
        <v>625</v>
      </c>
      <c r="B63">
        <v>61</v>
      </c>
    </row>
    <row r="64" spans="1:2" x14ac:dyDescent="0.3">
      <c r="A64">
        <v>635</v>
      </c>
      <c r="B64">
        <v>62</v>
      </c>
    </row>
    <row r="65" spans="1:2" x14ac:dyDescent="0.3">
      <c r="A65">
        <v>645</v>
      </c>
      <c r="B65">
        <v>63</v>
      </c>
    </row>
    <row r="66" spans="1:2" x14ac:dyDescent="0.3">
      <c r="A66">
        <v>655</v>
      </c>
      <c r="B66">
        <v>64</v>
      </c>
    </row>
    <row r="67" spans="1:2" x14ac:dyDescent="0.3">
      <c r="A67">
        <v>666</v>
      </c>
      <c r="B67">
        <v>65</v>
      </c>
    </row>
    <row r="68" spans="1:2" x14ac:dyDescent="0.3">
      <c r="A68">
        <v>676</v>
      </c>
      <c r="B68">
        <v>66</v>
      </c>
    </row>
    <row r="69" spans="1:2" x14ac:dyDescent="0.3">
      <c r="A69">
        <v>686</v>
      </c>
      <c r="B69">
        <v>67</v>
      </c>
    </row>
    <row r="70" spans="1:2" x14ac:dyDescent="0.3">
      <c r="A70">
        <v>696</v>
      </c>
      <c r="B70">
        <v>68</v>
      </c>
    </row>
    <row r="71" spans="1:2" x14ac:dyDescent="0.3">
      <c r="A71">
        <v>707</v>
      </c>
      <c r="B71">
        <v>69</v>
      </c>
    </row>
    <row r="72" spans="1:2" x14ac:dyDescent="0.3">
      <c r="A72">
        <v>717</v>
      </c>
      <c r="B72">
        <v>70</v>
      </c>
    </row>
    <row r="73" spans="1:2" x14ac:dyDescent="0.3">
      <c r="A73">
        <v>727</v>
      </c>
      <c r="B73">
        <v>71</v>
      </c>
    </row>
    <row r="74" spans="1:2" x14ac:dyDescent="0.3">
      <c r="A74">
        <v>737</v>
      </c>
      <c r="B74">
        <v>72</v>
      </c>
    </row>
    <row r="75" spans="1:2" x14ac:dyDescent="0.3">
      <c r="A75">
        <v>748</v>
      </c>
      <c r="B75">
        <v>73</v>
      </c>
    </row>
    <row r="76" spans="1:2" x14ac:dyDescent="0.3">
      <c r="A76">
        <v>758</v>
      </c>
      <c r="B76">
        <v>74</v>
      </c>
    </row>
    <row r="77" spans="1:2" x14ac:dyDescent="0.3">
      <c r="A77">
        <v>768</v>
      </c>
      <c r="B77">
        <v>75</v>
      </c>
    </row>
    <row r="78" spans="1:2" x14ac:dyDescent="0.3">
      <c r="A78">
        <v>778</v>
      </c>
      <c r="B78">
        <v>76</v>
      </c>
    </row>
    <row r="79" spans="1:2" x14ac:dyDescent="0.3">
      <c r="A79">
        <v>788</v>
      </c>
      <c r="B79">
        <v>77</v>
      </c>
    </row>
    <row r="80" spans="1:2" x14ac:dyDescent="0.3">
      <c r="A80">
        <v>799</v>
      </c>
      <c r="B80">
        <v>78</v>
      </c>
    </row>
    <row r="81" spans="1:2" x14ac:dyDescent="0.3">
      <c r="A81">
        <v>809</v>
      </c>
      <c r="B81">
        <v>79</v>
      </c>
    </row>
    <row r="82" spans="1:2" x14ac:dyDescent="0.3">
      <c r="A82">
        <v>819</v>
      </c>
      <c r="B82">
        <v>80</v>
      </c>
    </row>
    <row r="83" spans="1:2" x14ac:dyDescent="0.3">
      <c r="A83">
        <v>829</v>
      </c>
      <c r="B83">
        <v>81</v>
      </c>
    </row>
    <row r="84" spans="1:2" x14ac:dyDescent="0.3">
      <c r="A84">
        <v>840</v>
      </c>
      <c r="B84">
        <v>82</v>
      </c>
    </row>
    <row r="85" spans="1:2" x14ac:dyDescent="0.3">
      <c r="A85">
        <v>850</v>
      </c>
      <c r="B85">
        <v>83</v>
      </c>
    </row>
    <row r="86" spans="1:2" x14ac:dyDescent="0.3">
      <c r="A86">
        <v>860</v>
      </c>
      <c r="B86">
        <v>84</v>
      </c>
    </row>
    <row r="87" spans="1:2" x14ac:dyDescent="0.3">
      <c r="A87">
        <v>870</v>
      </c>
      <c r="B87">
        <v>85</v>
      </c>
    </row>
    <row r="88" spans="1:2" x14ac:dyDescent="0.3">
      <c r="A88">
        <v>881</v>
      </c>
      <c r="B88">
        <v>86</v>
      </c>
    </row>
    <row r="89" spans="1:2" x14ac:dyDescent="0.3">
      <c r="A89">
        <v>891</v>
      </c>
      <c r="B89">
        <v>87</v>
      </c>
    </row>
    <row r="90" spans="1:2" x14ac:dyDescent="0.3">
      <c r="A90">
        <v>901</v>
      </c>
      <c r="B90">
        <v>88</v>
      </c>
    </row>
    <row r="91" spans="1:2" x14ac:dyDescent="0.3">
      <c r="A91">
        <v>911</v>
      </c>
      <c r="B91">
        <v>89</v>
      </c>
    </row>
    <row r="92" spans="1:2" x14ac:dyDescent="0.3">
      <c r="A92">
        <v>922</v>
      </c>
      <c r="B92">
        <v>90</v>
      </c>
    </row>
    <row r="93" spans="1:2" x14ac:dyDescent="0.3">
      <c r="A93">
        <v>932</v>
      </c>
      <c r="B93">
        <v>91</v>
      </c>
    </row>
    <row r="94" spans="1:2" x14ac:dyDescent="0.3">
      <c r="A94">
        <v>942</v>
      </c>
      <c r="B94">
        <v>92</v>
      </c>
    </row>
    <row r="95" spans="1:2" x14ac:dyDescent="0.3">
      <c r="A95">
        <v>952</v>
      </c>
      <c r="B95">
        <v>93</v>
      </c>
    </row>
    <row r="96" spans="1:2" x14ac:dyDescent="0.3">
      <c r="A96">
        <v>963</v>
      </c>
      <c r="B96">
        <v>94</v>
      </c>
    </row>
    <row r="97" spans="1:2" x14ac:dyDescent="0.3">
      <c r="A97">
        <v>973</v>
      </c>
      <c r="B97">
        <v>95</v>
      </c>
    </row>
    <row r="98" spans="1:2" x14ac:dyDescent="0.3">
      <c r="A98">
        <v>983</v>
      </c>
      <c r="B98">
        <v>96</v>
      </c>
    </row>
    <row r="99" spans="1:2" x14ac:dyDescent="0.3">
      <c r="A99">
        <v>993</v>
      </c>
      <c r="B99">
        <v>97</v>
      </c>
    </row>
    <row r="100" spans="1:2" x14ac:dyDescent="0.3">
      <c r="A100">
        <v>1004</v>
      </c>
      <c r="B100">
        <v>98</v>
      </c>
    </row>
    <row r="101" spans="1:2" x14ac:dyDescent="0.3">
      <c r="A101">
        <v>1014</v>
      </c>
      <c r="B101">
        <v>99</v>
      </c>
    </row>
    <row r="102" spans="1:2" x14ac:dyDescent="0.3">
      <c r="A102">
        <v>1023</v>
      </c>
      <c r="B102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2B0EB-048A-4388-910B-CB31A7F6A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to Temp (C)</vt:lpstr>
      <vt:lpstr>analog_to_percentage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Tristian Apostol</dc:creator>
  <cp:lastModifiedBy>Gian Tristian Apostol</cp:lastModifiedBy>
  <dcterms:created xsi:type="dcterms:W3CDTF">2026-01-28T14:57:57Z</dcterms:created>
  <dcterms:modified xsi:type="dcterms:W3CDTF">2026-02-01T19:22:18Z</dcterms:modified>
</cp:coreProperties>
</file>
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t\Projects\esp32-temp-humidity-gas-sensor\dev\"/>
    </mc:Choice>
  </mc:AlternateContent>
  <xr:revisionPtr revIDLastSave="0" documentId="13_ncr:1_{247AD3FE-C414-459B-9BE5-417D197B1199}" xr6:coauthVersionLast="47" xr6:coauthVersionMax="47" xr10:uidLastSave="{00000000-0000-0000-0000-000000000000}"/>
  <bookViews>
    <workbookView xWindow="-108" yWindow="-108" windowWidth="23256" windowHeight="12456" xr2:uid="{5C5574AC-722E-4C0F-A9B9-7BAA6005D66E}"/>
  </bookViews>
  <sheets>
    <sheet name="Analog to Temp (C)" sheetId="1" r:id="rId1"/>
    <sheet name="analog_to_temp_c" sheetId="3" r:id="rId2"/>
  </sheets>
  <definedNames>
    <definedName name="ExternalData_1" localSheetId="1" hidden="1">analog_to_temp_c!$A$1:$B$61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A3" i="1"/>
  <c r="B3" i="1"/>
  <c r="A4" i="1"/>
  <c r="B4" i="1"/>
  <c r="A5" i="1"/>
  <c r="C5" i="1" s="1"/>
  <c r="B5" i="1"/>
  <c r="A6" i="1"/>
  <c r="C6" i="1" s="1"/>
  <c r="B6" i="1"/>
  <c r="A7" i="1"/>
  <c r="C7" i="1" s="1"/>
  <c r="B7" i="1"/>
  <c r="A8" i="1"/>
  <c r="C8" i="1" s="1"/>
  <c r="B8" i="1"/>
  <c r="A9" i="1"/>
  <c r="B9" i="1"/>
  <c r="A10" i="1"/>
  <c r="B10" i="1"/>
  <c r="A11" i="1"/>
  <c r="B11" i="1"/>
  <c r="A12" i="1"/>
  <c r="B12" i="1"/>
  <c r="A13" i="1"/>
  <c r="B13" i="1"/>
  <c r="A14" i="1"/>
  <c r="C14" i="1" s="1"/>
  <c r="B14" i="1"/>
  <c r="A15" i="1"/>
  <c r="B15" i="1"/>
  <c r="A16" i="1"/>
  <c r="B16" i="1"/>
  <c r="A17" i="1"/>
  <c r="C17" i="1" s="1"/>
  <c r="B17" i="1"/>
  <c r="A18" i="1"/>
  <c r="C18" i="1" s="1"/>
  <c r="B18" i="1"/>
  <c r="A19" i="1"/>
  <c r="C19" i="1" s="1"/>
  <c r="B19" i="1"/>
  <c r="A20" i="1"/>
  <c r="C21" i="1" s="1"/>
  <c r="B20" i="1"/>
  <c r="A21" i="1"/>
  <c r="B21" i="1"/>
  <c r="A22" i="1"/>
  <c r="B22" i="1"/>
  <c r="A23" i="1"/>
  <c r="B23" i="1"/>
  <c r="A24" i="1"/>
  <c r="B24" i="1"/>
  <c r="A25" i="1"/>
  <c r="B25" i="1"/>
  <c r="A26" i="1"/>
  <c r="C26" i="1" s="1"/>
  <c r="B26" i="1"/>
  <c r="A27" i="1"/>
  <c r="B27" i="1"/>
  <c r="A28" i="1"/>
  <c r="B28" i="1"/>
  <c r="A29" i="1"/>
  <c r="C29" i="1" s="1"/>
  <c r="B29" i="1"/>
  <c r="A30" i="1"/>
  <c r="C30" i="1" s="1"/>
  <c r="B30" i="1"/>
  <c r="A31" i="1"/>
  <c r="C31" i="1" s="1"/>
  <c r="B31" i="1"/>
  <c r="A32" i="1"/>
  <c r="C32" i="1" s="1"/>
  <c r="B32" i="1"/>
  <c r="A33" i="1"/>
  <c r="B33" i="1"/>
  <c r="A34" i="1"/>
  <c r="B34" i="1"/>
  <c r="A35" i="1"/>
  <c r="B35" i="1"/>
  <c r="A36" i="1"/>
  <c r="B36" i="1"/>
  <c r="A37" i="1"/>
  <c r="B37" i="1"/>
  <c r="A38" i="1"/>
  <c r="C38" i="1" s="1"/>
  <c r="B38" i="1"/>
  <c r="A39" i="1"/>
  <c r="B39" i="1"/>
  <c r="A40" i="1"/>
  <c r="B40" i="1"/>
  <c r="A41" i="1"/>
  <c r="C41" i="1" s="1"/>
  <c r="B41" i="1"/>
  <c r="A42" i="1"/>
  <c r="C42" i="1" s="1"/>
  <c r="B42" i="1"/>
  <c r="A43" i="1"/>
  <c r="C43" i="1" s="1"/>
  <c r="B43" i="1"/>
  <c r="A44" i="1"/>
  <c r="C45" i="1" s="1"/>
  <c r="B44" i="1"/>
  <c r="A45" i="1"/>
  <c r="B45" i="1"/>
  <c r="A46" i="1"/>
  <c r="B46" i="1"/>
  <c r="A47" i="1"/>
  <c r="B47" i="1"/>
  <c r="A48" i="1"/>
  <c r="B48" i="1"/>
  <c r="A49" i="1"/>
  <c r="B49" i="1"/>
  <c r="A50" i="1"/>
  <c r="C50" i="1" s="1"/>
  <c r="B50" i="1"/>
  <c r="A51" i="1"/>
  <c r="B51" i="1"/>
  <c r="A52" i="1"/>
  <c r="B52" i="1"/>
  <c r="A53" i="1"/>
  <c r="C53" i="1" s="1"/>
  <c r="B53" i="1"/>
  <c r="A54" i="1"/>
  <c r="C54" i="1" s="1"/>
  <c r="B54" i="1"/>
  <c r="A55" i="1"/>
  <c r="C55" i="1" s="1"/>
  <c r="B55" i="1"/>
  <c r="A56" i="1"/>
  <c r="C56" i="1" s="1"/>
  <c r="B56" i="1"/>
  <c r="A57" i="1"/>
  <c r="B57" i="1"/>
  <c r="A58" i="1"/>
  <c r="B58" i="1"/>
  <c r="A59" i="1"/>
  <c r="B59" i="1"/>
  <c r="A60" i="1"/>
  <c r="B60" i="1"/>
  <c r="A61" i="1"/>
  <c r="B61" i="1"/>
  <c r="B2" i="1"/>
  <c r="A2" i="1"/>
  <c r="C10" i="1"/>
  <c r="C11" i="1"/>
  <c r="C12" i="1"/>
  <c r="C13" i="1"/>
  <c r="C16" i="1"/>
  <c r="C22" i="1"/>
  <c r="C23" i="1"/>
  <c r="C24" i="1"/>
  <c r="C25" i="1"/>
  <c r="C28" i="1"/>
  <c r="C34" i="1"/>
  <c r="C35" i="1"/>
  <c r="C36" i="1"/>
  <c r="C37" i="1"/>
  <c r="C40" i="1"/>
  <c r="C46" i="1"/>
  <c r="C47" i="1"/>
  <c r="C48" i="1"/>
  <c r="C49" i="1"/>
  <c r="C52" i="1"/>
  <c r="C58" i="1"/>
  <c r="C59" i="1"/>
  <c r="C60" i="1"/>
  <c r="C61" i="1"/>
  <c r="H5" i="1"/>
  <c r="C57" i="1" l="1"/>
  <c r="C9" i="1"/>
  <c r="C20" i="1"/>
  <c r="C33" i="1"/>
  <c r="C44" i="1"/>
  <c r="C51" i="1"/>
  <c r="C39" i="1"/>
  <c r="C27" i="1"/>
  <c r="C15" i="1"/>
  <c r="H4" i="1"/>
  <c r="D30" i="1" l="1"/>
  <c r="J5" i="1"/>
  <c r="D57" i="1"/>
  <c r="E57" i="1" s="1"/>
  <c r="F57" i="1" s="1"/>
  <c r="D27" i="1"/>
  <c r="D22" i="1"/>
  <c r="D50" i="1"/>
  <c r="D58" i="1"/>
  <c r="D31" i="1"/>
  <c r="D7" i="1"/>
  <c r="D43" i="1"/>
  <c r="D42" i="1"/>
  <c r="D18" i="1"/>
  <c r="D24" i="1"/>
  <c r="D23" i="1"/>
  <c r="D17" i="1"/>
  <c r="D10" i="1"/>
  <c r="D4" i="1"/>
  <c r="D21" i="1"/>
  <c r="D20" i="1"/>
  <c r="D35" i="1"/>
  <c r="D56" i="1"/>
  <c r="D55" i="1"/>
  <c r="D60" i="1"/>
  <c r="D54" i="1"/>
  <c r="D13" i="1"/>
  <c r="D16" i="1"/>
  <c r="D29" i="1"/>
  <c r="D19" i="1"/>
  <c r="D49" i="1"/>
  <c r="D32" i="1"/>
  <c r="D6" i="1"/>
  <c r="D8" i="1"/>
  <c r="D3" i="1"/>
  <c r="D2" i="1"/>
  <c r="D28" i="1"/>
  <c r="D36" i="1"/>
  <c r="D47" i="1"/>
  <c r="D5" i="1"/>
  <c r="D46" i="1"/>
  <c r="D12" i="1"/>
  <c r="D38" i="1"/>
  <c r="D9" i="1"/>
  <c r="D48" i="1"/>
  <c r="D37" i="1"/>
  <c r="D44" i="1"/>
  <c r="D45" i="1"/>
  <c r="D59" i="1"/>
  <c r="D11" i="1"/>
  <c r="D51" i="1"/>
  <c r="D34" i="1"/>
  <c r="D33" i="1"/>
  <c r="D39" i="1"/>
  <c r="D25" i="1"/>
  <c r="D53" i="1"/>
  <c r="D52" i="1"/>
  <c r="D26" i="1"/>
  <c r="D61" i="1"/>
  <c r="D41" i="1"/>
  <c r="D40" i="1"/>
  <c r="D14" i="1"/>
  <c r="D15" i="1"/>
  <c r="E21" i="1" l="1"/>
  <c r="F21" i="1" s="1"/>
  <c r="E36" i="1"/>
  <c r="F36" i="1" s="1"/>
  <c r="E18" i="1"/>
  <c r="F18" i="1" s="1"/>
  <c r="E28" i="1"/>
  <c r="F28" i="1" s="1"/>
  <c r="E42" i="1"/>
  <c r="F42" i="1" s="1"/>
  <c r="E2" i="1"/>
  <c r="F2" i="1" s="1"/>
  <c r="E61" i="1"/>
  <c r="F61" i="1" s="1"/>
  <c r="E56" i="1"/>
  <c r="F56" i="1" s="1"/>
  <c r="E37" i="1"/>
  <c r="F37" i="1" s="1"/>
  <c r="E52" i="1"/>
  <c r="F52" i="1" s="1"/>
  <c r="E20" i="1"/>
  <c r="F20" i="1" s="1"/>
  <c r="E9" i="1"/>
  <c r="F9" i="1" s="1"/>
  <c r="E14" i="1"/>
  <c r="F14" i="1" s="1"/>
  <c r="E54" i="1"/>
  <c r="F54" i="1" s="1"/>
  <c r="E40" i="1"/>
  <c r="F40" i="1" s="1"/>
  <c r="E41" i="1"/>
  <c r="F41" i="1" s="1"/>
  <c r="E43" i="1"/>
  <c r="F43" i="1" s="1"/>
  <c r="E3" i="1"/>
  <c r="F3" i="1" s="1"/>
  <c r="E26" i="1"/>
  <c r="F26" i="1" s="1"/>
  <c r="E35" i="1"/>
  <c r="F35" i="1" s="1"/>
  <c r="E6" i="1"/>
  <c r="F6" i="1" s="1"/>
  <c r="E53" i="1"/>
  <c r="F53" i="1" s="1"/>
  <c r="E32" i="1"/>
  <c r="F32" i="1" s="1"/>
  <c r="E25" i="1"/>
  <c r="F25" i="1" s="1"/>
  <c r="E11" i="1"/>
  <c r="F11" i="1" s="1"/>
  <c r="E59" i="1"/>
  <c r="F59" i="1" s="1"/>
  <c r="E60" i="1"/>
  <c r="F60" i="1" s="1"/>
  <c r="E45" i="1"/>
  <c r="F45" i="1" s="1"/>
  <c r="E55" i="1"/>
  <c r="F55" i="1" s="1"/>
  <c r="E44" i="1"/>
  <c r="F44" i="1" s="1"/>
  <c r="E7" i="1"/>
  <c r="F7" i="1" s="1"/>
  <c r="E8" i="1"/>
  <c r="F8" i="1" s="1"/>
  <c r="E31" i="1"/>
  <c r="F31" i="1" s="1"/>
  <c r="E48" i="1"/>
  <c r="F48" i="1" s="1"/>
  <c r="E58" i="1"/>
  <c r="F58" i="1" s="1"/>
  <c r="E50" i="1"/>
  <c r="F50" i="1" s="1"/>
  <c r="E38" i="1"/>
  <c r="F38" i="1" s="1"/>
  <c r="E49" i="1"/>
  <c r="F49" i="1" s="1"/>
  <c r="E4" i="1"/>
  <c r="F4" i="1" s="1"/>
  <c r="E22" i="1"/>
  <c r="F22" i="1" s="1"/>
  <c r="E39" i="1"/>
  <c r="F39" i="1" s="1"/>
  <c r="E12" i="1"/>
  <c r="F12" i="1" s="1"/>
  <c r="E19" i="1"/>
  <c r="F19" i="1" s="1"/>
  <c r="E10" i="1"/>
  <c r="F10" i="1" s="1"/>
  <c r="E27" i="1"/>
  <c r="F27" i="1" s="1"/>
  <c r="E33" i="1"/>
  <c r="F33" i="1" s="1"/>
  <c r="E46" i="1"/>
  <c r="F46" i="1" s="1"/>
  <c r="E29" i="1"/>
  <c r="F29" i="1" s="1"/>
  <c r="E17" i="1"/>
  <c r="F17" i="1" s="1"/>
  <c r="E34" i="1"/>
  <c r="F34" i="1" s="1"/>
  <c r="E5" i="1"/>
  <c r="F5" i="1" s="1"/>
  <c r="E16" i="1"/>
  <c r="F16" i="1" s="1"/>
  <c r="E23" i="1"/>
  <c r="F23" i="1" s="1"/>
  <c r="E15" i="1"/>
  <c r="F15" i="1" s="1"/>
  <c r="E51" i="1"/>
  <c r="F51" i="1" s="1"/>
  <c r="E47" i="1"/>
  <c r="F47" i="1" s="1"/>
  <c r="E13" i="1"/>
  <c r="F13" i="1" s="1"/>
  <c r="E24" i="1"/>
  <c r="F24" i="1" s="1"/>
  <c r="E30" i="1"/>
  <c r="F30" i="1" s="1"/>
  <c r="H8" i="1" l="1"/>
  <c r="H7" i="1"/>
  <c r="H11" i="1" l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502BB-2F11-46D6-8769-DA3F1CE5E6DE}" keepAlive="1" name="Query - analog_to_temp" description="Connection to the 'analog_to_temp' query in the workbook." type="5" refreshedVersion="8" background="1" saveData="1">
    <dbPr connection="Provider=Microsoft.Mashup.OleDb.1;Data Source=$Workbook$;Location=analog_to_temp;Extended Properties=&quot;&quot;" command="SELECT * FROM [analog_to_temp]"/>
  </connection>
  <connection id="2" xr16:uid="{123DB344-8711-488F-A6CD-0860F9CF7B77}" keepAlive="1" name="Query - analog_to_temp (2)" description="Connection to the 'analog_to_temp (2)' query in the workbook." type="5" refreshedVersion="8" background="1" saveData="1">
    <dbPr connection="Provider=Microsoft.Mashup.OleDb.1;Data Source=$Workbook$;Location=&quot;analog_to_temp (2)&quot;;Extended Properties=&quot;&quot;" command="SELECT * FROM [analog_to_temp (2)]"/>
  </connection>
  <connection id="3" xr16:uid="{ED4E5F27-E778-437A-AB72-0BD445C5F1F0}" keepAlive="1" name="Query - analog_to_temp_c" description="Connection to the 'analog_to_temp_c' query in the workbook." type="5" refreshedVersion="8" background="1" saveData="1">
    <dbPr connection="Provider=Microsoft.Mashup.OleDb.1;Data Source=$Workbook$;Location=analog_to_temp_c;Extended Properties=&quot;&quot;" command="SELECT * FROM [analog_to_temp_c]"/>
  </connection>
</connections>
</file>

<file path=xl/sharedStrings.xml><?xml version="1.0" encoding="utf-8"?>
<sst xmlns="http://schemas.openxmlformats.org/spreadsheetml/2006/main" count="19" uniqueCount="19">
  <si>
    <t>Correct</t>
  </si>
  <si>
    <t>Analysis</t>
  </si>
  <si>
    <t>Rate of Change</t>
  </si>
  <si>
    <t>Average Rate of Change</t>
  </si>
  <si>
    <t>Rounded (0, 0.5, 1)</t>
  </si>
  <si>
    <t>Correct Count</t>
  </si>
  <si>
    <t>Incorrect Count</t>
  </si>
  <si>
    <t>Formula for Analog Read to Temperature ( C )</t>
  </si>
  <si>
    <t>Inputs:</t>
  </si>
  <si>
    <t xml:space="preserve"> analogRead, increment</t>
  </si>
  <si>
    <t>Quotient</t>
  </si>
  <si>
    <t>Increment</t>
  </si>
  <si>
    <t>Scale</t>
  </si>
  <si>
    <t>Analog</t>
  </si>
  <si>
    <t>Temp_C</t>
  </si>
  <si>
    <t>Correct Percentage</t>
  </si>
  <si>
    <t>Incorrect Percentage</t>
  </si>
  <si>
    <t>Analog Read</t>
  </si>
  <si>
    <t>Expected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</si>
</sst>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12</xdr:col>
      <xdr:colOff>99060</xdr:colOff>
      <xdr:row>7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CE29D8-57D6-4DA0-BD7B-6411A641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089660"/>
          <a:ext cx="192786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10</xdr:col>
      <xdr:colOff>548640</xdr:colOff>
      <xdr:row>10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5B57CC-D948-0CA4-5601-7CE336CC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638300"/>
          <a:ext cx="11582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15</xdr:col>
      <xdr:colOff>167640</xdr:colOff>
      <xdr:row>13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4A297A-4D7D-42CD-9B1B-61EB3F6C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186940"/>
          <a:ext cx="382524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B30E61-2E5E-49B1-9760-8058A0067FE6}" autoFormatId="16" applyNumberFormats="0" applyBorderFormats="0" applyFontFormats="0" applyPatternFormats="0" applyAlignmentFormats="0" applyWidthHeightFormats="0">
  <queryTableRefresh nextId="3">
    <queryTableFields count="2">
      <queryTableField id="1" name="Analog" tableColumnId="1"/>
      <queryTableField id="2" name="Temp_C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F5AF9-08F5-478D-BE80-572C0AD958BB}" name="analog_to_temp_c" displayName="analog_to_temp_c" ref="A1:B61" tableType="queryTable" totalsRowShown="0">
  <autoFilter ref="A1:B61" xr:uid="{FB0F5AF9-08F5-478D-BE80-572C0AD958BB}"/>
  <tableColumns count="2">
    <tableColumn id="1" xr3:uid="{DB866650-F1D0-4048-8AF1-85F615B77D89}" uniqueName="1" name="Analog" queryTableFieldId="1"/>
    <tableColumn id="2" xr3:uid="{EEC9025C-B34B-4A84-BB59-1499B3802427}" uniqueName="2" name="Temp_C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471-26BD-4211-B0E9-908EF189B709}">
  <dimension ref="A1:P61"/>
  <sheetViews>
    <sheetView tabSelected="1" zoomScaleNormal="100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3.6640625" customWidth="1"/>
    <col min="2" max="2" width="17.44140625" customWidth="1"/>
    <col min="3" max="3" width="13.21875" style="4" customWidth="1"/>
    <col min="5" max="5" width="15.5546875" customWidth="1"/>
    <col min="6" max="6" width="8.88671875" style="4"/>
    <col min="7" max="7" width="20.6640625" customWidth="1"/>
    <col min="8" max="8" width="12.21875" style="4" customWidth="1"/>
    <col min="9" max="9" width="6.6640625" customWidth="1"/>
    <col min="16" max="16" width="8.88671875" style="4"/>
  </cols>
  <sheetData>
    <row r="1" spans="1:16" s="2" customFormat="1" ht="13.8" x14ac:dyDescent="0.3">
      <c r="A1" s="2" t="s">
        <v>17</v>
      </c>
      <c r="B1" s="2" t="s">
        <v>18</v>
      </c>
      <c r="C1" s="3" t="s">
        <v>2</v>
      </c>
      <c r="D1" s="2" t="s">
        <v>10</v>
      </c>
      <c r="E1" s="2" t="s">
        <v>4</v>
      </c>
      <c r="F1" s="3" t="s">
        <v>0</v>
      </c>
      <c r="G1" s="8" t="s">
        <v>1</v>
      </c>
      <c r="H1" s="9"/>
      <c r="I1" s="8" t="s">
        <v>7</v>
      </c>
      <c r="J1" s="10"/>
      <c r="K1" s="10"/>
      <c r="L1" s="10"/>
      <c r="M1" s="10"/>
      <c r="N1" s="10"/>
      <c r="O1" s="10"/>
      <c r="P1" s="9"/>
    </row>
    <row r="2" spans="1:16" x14ac:dyDescent="0.3">
      <c r="A2">
        <f>analog_to_temp_c[[#This Row],[Analog]]</f>
        <v>181</v>
      </c>
      <c r="B2">
        <f>analog_to_temp_c[[#This Row],[Temp_C]]</f>
        <v>58</v>
      </c>
      <c r="D2">
        <f t="shared" ref="D2:D33" si="0">A2/$H$4</f>
        <v>58.038043478260867</v>
      </c>
      <c r="E2">
        <f t="shared" ref="E2:E33" si="1">FLOOR(D2,1)+ROUND($H$5*(D2-FLOOR(D2,1)),0)/$H$5</f>
        <v>58</v>
      </c>
      <c r="F2" s="4" t="b">
        <f t="shared" ref="F2:F33" si="2">$B2=E2</f>
        <v>1</v>
      </c>
      <c r="G2" t="s">
        <v>11</v>
      </c>
      <c r="H2" s="7">
        <v>0.5</v>
      </c>
    </row>
    <row r="3" spans="1:16" x14ac:dyDescent="0.3">
      <c r="A3">
        <f>analog_to_temp_c[[#This Row],[Analog]]</f>
        <v>178</v>
      </c>
      <c r="B3">
        <f>analog_to_temp_c[[#This Row],[Temp_C]]</f>
        <v>57</v>
      </c>
      <c r="C3" s="4">
        <f t="shared" ref="C3:C34" si="3">(A3-A2)/(B3-B2)</f>
        <v>3</v>
      </c>
      <c r="D3">
        <f t="shared" si="0"/>
        <v>57.076086956521735</v>
      </c>
      <c r="E3">
        <f t="shared" si="1"/>
        <v>57</v>
      </c>
      <c r="F3" s="4" t="b">
        <f t="shared" si="2"/>
        <v>1</v>
      </c>
      <c r="J3" s="1" t="s">
        <v>8</v>
      </c>
      <c r="K3" t="s">
        <v>9</v>
      </c>
    </row>
    <row r="4" spans="1:16" x14ac:dyDescent="0.3">
      <c r="A4">
        <f>analog_to_temp_c[[#This Row],[Analog]]</f>
        <v>175</v>
      </c>
      <c r="B4">
        <f>analog_to_temp_c[[#This Row],[Temp_C]]</f>
        <v>56</v>
      </c>
      <c r="C4" s="4">
        <f t="shared" si="3"/>
        <v>3</v>
      </c>
      <c r="D4">
        <f t="shared" si="0"/>
        <v>56.114130434782609</v>
      </c>
      <c r="E4">
        <f t="shared" si="1"/>
        <v>56</v>
      </c>
      <c r="F4" s="4" t="b">
        <f t="shared" si="2"/>
        <v>1</v>
      </c>
      <c r="G4" t="s">
        <v>3</v>
      </c>
      <c r="H4" s="4">
        <f>AVERAGE(C3:C61)</f>
        <v>3.1186440677966103</v>
      </c>
    </row>
    <row r="5" spans="1:16" x14ac:dyDescent="0.3">
      <c r="A5">
        <f>analog_to_temp_c[[#This Row],[Analog]]</f>
        <v>171</v>
      </c>
      <c r="B5">
        <f>analog_to_temp_c[[#This Row],[Temp_C]]</f>
        <v>55</v>
      </c>
      <c r="C5" s="4">
        <f t="shared" si="3"/>
        <v>4</v>
      </c>
      <c r="D5">
        <f t="shared" si="0"/>
        <v>54.83152173913043</v>
      </c>
      <c r="E5">
        <f t="shared" si="1"/>
        <v>55</v>
      </c>
      <c r="F5" s="4" t="b">
        <f t="shared" si="2"/>
        <v>1</v>
      </c>
      <c r="G5" t="s">
        <v>12</v>
      </c>
      <c r="H5" s="4">
        <f>1/H2</f>
        <v>2</v>
      </c>
      <c r="J5" s="6" t="str">
        <f>"avgRateOfChange = "&amp;H4</f>
        <v>avgRateOfChange = 3.11864406779661</v>
      </c>
    </row>
    <row r="6" spans="1:16" x14ac:dyDescent="0.3">
      <c r="A6">
        <f>analog_to_temp_c[[#This Row],[Analog]]</f>
        <v>168</v>
      </c>
      <c r="B6">
        <f>analog_to_temp_c[[#This Row],[Temp_C]]</f>
        <v>54</v>
      </c>
      <c r="C6" s="4">
        <f t="shared" si="3"/>
        <v>3</v>
      </c>
      <c r="D6">
        <f t="shared" si="0"/>
        <v>53.869565217391305</v>
      </c>
      <c r="E6">
        <f t="shared" si="1"/>
        <v>54</v>
      </c>
      <c r="F6" s="4" t="b">
        <f t="shared" si="2"/>
        <v>1</v>
      </c>
    </row>
    <row r="7" spans="1:16" x14ac:dyDescent="0.3">
      <c r="A7">
        <f>analog_to_temp_c[[#This Row],[Analog]]</f>
        <v>165</v>
      </c>
      <c r="B7">
        <f>analog_to_temp_c[[#This Row],[Temp_C]]</f>
        <v>53</v>
      </c>
      <c r="C7" s="4">
        <f t="shared" si="3"/>
        <v>3</v>
      </c>
      <c r="D7">
        <f t="shared" si="0"/>
        <v>52.907608695652172</v>
      </c>
      <c r="E7">
        <f t="shared" si="1"/>
        <v>53</v>
      </c>
      <c r="F7" s="4" t="b">
        <f t="shared" si="2"/>
        <v>1</v>
      </c>
      <c r="G7" t="s">
        <v>5</v>
      </c>
      <c r="H7" s="4">
        <f>COUNTIF(F:F,TRUE)</f>
        <v>60</v>
      </c>
    </row>
    <row r="8" spans="1:16" x14ac:dyDescent="0.3">
      <c r="A8">
        <f>analog_to_temp_c[[#This Row],[Analog]]</f>
        <v>162</v>
      </c>
      <c r="B8">
        <f>analog_to_temp_c[[#This Row],[Temp_C]]</f>
        <v>52</v>
      </c>
      <c r="C8" s="4">
        <f t="shared" si="3"/>
        <v>3</v>
      </c>
      <c r="D8">
        <f t="shared" si="0"/>
        <v>51.945652173913039</v>
      </c>
      <c r="E8">
        <f t="shared" si="1"/>
        <v>52</v>
      </c>
      <c r="F8" s="4" t="b">
        <f t="shared" si="2"/>
        <v>1</v>
      </c>
      <c r="G8" t="s">
        <v>6</v>
      </c>
      <c r="H8" s="4">
        <f>COUNTIF(F:F,FALSE)</f>
        <v>0</v>
      </c>
    </row>
    <row r="9" spans="1:16" x14ac:dyDescent="0.3">
      <c r="A9">
        <f>analog_to_temp_c[[#This Row],[Analog]]</f>
        <v>159</v>
      </c>
      <c r="B9">
        <f>analog_to_temp_c[[#This Row],[Temp_C]]</f>
        <v>51</v>
      </c>
      <c r="C9" s="4">
        <f t="shared" si="3"/>
        <v>3</v>
      </c>
      <c r="D9">
        <f t="shared" si="0"/>
        <v>50.983695652173914</v>
      </c>
      <c r="E9">
        <f t="shared" si="1"/>
        <v>51</v>
      </c>
      <c r="F9" s="4" t="b">
        <f t="shared" si="2"/>
        <v>1</v>
      </c>
    </row>
    <row r="10" spans="1:16" x14ac:dyDescent="0.3">
      <c r="A10">
        <f>analog_to_temp_c[[#This Row],[Analog]]</f>
        <v>156</v>
      </c>
      <c r="B10">
        <f>analog_to_temp_c[[#This Row],[Temp_C]]</f>
        <v>50</v>
      </c>
      <c r="C10" s="4">
        <f t="shared" si="3"/>
        <v>3</v>
      </c>
      <c r="D10">
        <f t="shared" si="0"/>
        <v>50.021739130434781</v>
      </c>
      <c r="E10">
        <f t="shared" si="1"/>
        <v>50</v>
      </c>
      <c r="F10" s="4" t="b">
        <f t="shared" si="2"/>
        <v>1</v>
      </c>
      <c r="G10" t="s">
        <v>15</v>
      </c>
      <c r="H10" s="5" t="str">
        <f>ROUND(H7/(H7+H8)*100,2)&amp;"%"</f>
        <v>100%</v>
      </c>
    </row>
    <row r="11" spans="1:16" x14ac:dyDescent="0.3">
      <c r="A11">
        <f>analog_to_temp_c[[#This Row],[Analog]]</f>
        <v>153</v>
      </c>
      <c r="B11">
        <f>analog_to_temp_c[[#This Row],[Temp_C]]</f>
        <v>49</v>
      </c>
      <c r="C11" s="4">
        <f t="shared" si="3"/>
        <v>3</v>
      </c>
      <c r="D11">
        <f t="shared" si="0"/>
        <v>49.059782608695649</v>
      </c>
      <c r="E11">
        <f t="shared" si="1"/>
        <v>49</v>
      </c>
      <c r="F11" s="4" t="b">
        <f t="shared" si="2"/>
        <v>1</v>
      </c>
      <c r="G11" t="s">
        <v>16</v>
      </c>
      <c r="H11" s="5" t="str">
        <f>ROUND(100-H7/(H7+H8)*100,2)&amp;"%"</f>
        <v>0%</v>
      </c>
    </row>
    <row r="12" spans="1:16" x14ac:dyDescent="0.3">
      <c r="A12">
        <f>analog_to_temp_c[[#This Row],[Analog]]</f>
        <v>150</v>
      </c>
      <c r="B12">
        <f>analog_to_temp_c[[#This Row],[Temp_C]]</f>
        <v>48</v>
      </c>
      <c r="C12" s="4">
        <f t="shared" si="3"/>
        <v>3</v>
      </c>
      <c r="D12">
        <f t="shared" si="0"/>
        <v>48.097826086956523</v>
      </c>
      <c r="E12">
        <f t="shared" si="1"/>
        <v>48</v>
      </c>
      <c r="F12" s="4" t="b">
        <f t="shared" si="2"/>
        <v>1</v>
      </c>
    </row>
    <row r="13" spans="1:16" x14ac:dyDescent="0.3">
      <c r="A13">
        <f>analog_to_temp_c[[#This Row],[Analog]]</f>
        <v>147</v>
      </c>
      <c r="B13">
        <f>analog_to_temp_c[[#This Row],[Temp_C]]</f>
        <v>47</v>
      </c>
      <c r="C13" s="4">
        <f t="shared" si="3"/>
        <v>3</v>
      </c>
      <c r="D13">
        <f t="shared" si="0"/>
        <v>47.135869565217391</v>
      </c>
      <c r="E13">
        <f t="shared" si="1"/>
        <v>47</v>
      </c>
      <c r="F13" s="4" t="b">
        <f t="shared" si="2"/>
        <v>1</v>
      </c>
    </row>
    <row r="14" spans="1:16" x14ac:dyDescent="0.3">
      <c r="A14">
        <f>analog_to_temp_c[[#This Row],[Analog]]</f>
        <v>143</v>
      </c>
      <c r="B14">
        <f>analog_to_temp_c[[#This Row],[Temp_C]]</f>
        <v>46</v>
      </c>
      <c r="C14" s="4">
        <f t="shared" si="3"/>
        <v>4</v>
      </c>
      <c r="D14">
        <f t="shared" si="0"/>
        <v>45.853260869565219</v>
      </c>
      <c r="E14">
        <f t="shared" si="1"/>
        <v>46</v>
      </c>
      <c r="F14" s="4" t="b">
        <f t="shared" si="2"/>
        <v>1</v>
      </c>
    </row>
    <row r="15" spans="1:16" x14ac:dyDescent="0.3">
      <c r="A15">
        <f>analog_to_temp_c[[#This Row],[Analog]]</f>
        <v>140</v>
      </c>
      <c r="B15">
        <f>analog_to_temp_c[[#This Row],[Temp_C]]</f>
        <v>45</v>
      </c>
      <c r="C15" s="4">
        <f t="shared" si="3"/>
        <v>3</v>
      </c>
      <c r="D15">
        <f t="shared" si="0"/>
        <v>44.891304347826086</v>
      </c>
      <c r="E15">
        <f t="shared" si="1"/>
        <v>45</v>
      </c>
      <c r="F15" s="4" t="b">
        <f t="shared" si="2"/>
        <v>1</v>
      </c>
    </row>
    <row r="16" spans="1:16" x14ac:dyDescent="0.3">
      <c r="A16">
        <f>analog_to_temp_c[[#This Row],[Analog]]</f>
        <v>137</v>
      </c>
      <c r="B16">
        <f>analog_to_temp_c[[#This Row],[Temp_C]]</f>
        <v>44</v>
      </c>
      <c r="C16" s="4">
        <f t="shared" si="3"/>
        <v>3</v>
      </c>
      <c r="D16">
        <f t="shared" si="0"/>
        <v>43.929347826086953</v>
      </c>
      <c r="E16">
        <f t="shared" si="1"/>
        <v>44</v>
      </c>
      <c r="F16" s="4" t="b">
        <f t="shared" si="2"/>
        <v>1</v>
      </c>
    </row>
    <row r="17" spans="1:6" x14ac:dyDescent="0.3">
      <c r="A17">
        <f>analog_to_temp_c[[#This Row],[Analog]]</f>
        <v>134</v>
      </c>
      <c r="B17">
        <f>analog_to_temp_c[[#This Row],[Temp_C]]</f>
        <v>43</v>
      </c>
      <c r="C17" s="4">
        <f t="shared" si="3"/>
        <v>3</v>
      </c>
      <c r="D17">
        <f t="shared" si="0"/>
        <v>42.967391304347821</v>
      </c>
      <c r="E17">
        <f t="shared" si="1"/>
        <v>43</v>
      </c>
      <c r="F17" s="4" t="b">
        <f t="shared" si="2"/>
        <v>1</v>
      </c>
    </row>
    <row r="18" spans="1:6" x14ac:dyDescent="0.3">
      <c r="A18">
        <f>analog_to_temp_c[[#This Row],[Analog]]</f>
        <v>131</v>
      </c>
      <c r="B18">
        <f>analog_to_temp_c[[#This Row],[Temp_C]]</f>
        <v>42</v>
      </c>
      <c r="C18" s="4">
        <f t="shared" si="3"/>
        <v>3</v>
      </c>
      <c r="D18">
        <f t="shared" si="0"/>
        <v>42.005434782608695</v>
      </c>
      <c r="E18">
        <f t="shared" si="1"/>
        <v>42</v>
      </c>
      <c r="F18" s="4" t="b">
        <f t="shared" si="2"/>
        <v>1</v>
      </c>
    </row>
    <row r="19" spans="1:6" x14ac:dyDescent="0.3">
      <c r="A19">
        <f>analog_to_temp_c[[#This Row],[Analog]]</f>
        <v>128</v>
      </c>
      <c r="B19">
        <f>analog_to_temp_c[[#This Row],[Temp_C]]</f>
        <v>41</v>
      </c>
      <c r="C19" s="4">
        <f t="shared" si="3"/>
        <v>3</v>
      </c>
      <c r="D19">
        <f t="shared" si="0"/>
        <v>41.043478260869563</v>
      </c>
      <c r="E19">
        <f t="shared" si="1"/>
        <v>41</v>
      </c>
      <c r="F19" s="4" t="b">
        <f t="shared" si="2"/>
        <v>1</v>
      </c>
    </row>
    <row r="20" spans="1:6" x14ac:dyDescent="0.3">
      <c r="A20">
        <f>analog_to_temp_c[[#This Row],[Analog]]</f>
        <v>125</v>
      </c>
      <c r="B20">
        <f>analog_to_temp_c[[#This Row],[Temp_C]]</f>
        <v>40</v>
      </c>
      <c r="C20" s="4">
        <f t="shared" si="3"/>
        <v>3</v>
      </c>
      <c r="D20">
        <f t="shared" si="0"/>
        <v>40.08152173913043</v>
      </c>
      <c r="E20">
        <f t="shared" si="1"/>
        <v>40</v>
      </c>
      <c r="F20" s="4" t="b">
        <f t="shared" si="2"/>
        <v>1</v>
      </c>
    </row>
    <row r="21" spans="1:6" x14ac:dyDescent="0.3">
      <c r="A21">
        <f>analog_to_temp_c[[#This Row],[Analog]]</f>
        <v>122</v>
      </c>
      <c r="B21">
        <f>analog_to_temp_c[[#This Row],[Temp_C]]</f>
        <v>39</v>
      </c>
      <c r="C21" s="4">
        <f t="shared" si="3"/>
        <v>3</v>
      </c>
      <c r="D21">
        <f t="shared" si="0"/>
        <v>39.119565217391305</v>
      </c>
      <c r="E21">
        <f t="shared" si="1"/>
        <v>39</v>
      </c>
      <c r="F21" s="4" t="b">
        <f t="shared" si="2"/>
        <v>1</v>
      </c>
    </row>
    <row r="22" spans="1:6" x14ac:dyDescent="0.3">
      <c r="A22">
        <f>analog_to_temp_c[[#This Row],[Analog]]</f>
        <v>119</v>
      </c>
      <c r="B22">
        <f>analog_to_temp_c[[#This Row],[Temp_C]]</f>
        <v>38</v>
      </c>
      <c r="C22" s="4">
        <f t="shared" si="3"/>
        <v>3</v>
      </c>
      <c r="D22">
        <f t="shared" si="0"/>
        <v>38.157608695652172</v>
      </c>
      <c r="E22">
        <f t="shared" si="1"/>
        <v>38</v>
      </c>
      <c r="F22" s="4" t="b">
        <f t="shared" si="2"/>
        <v>1</v>
      </c>
    </row>
    <row r="23" spans="1:6" x14ac:dyDescent="0.3">
      <c r="A23">
        <f>analog_to_temp_c[[#This Row],[Analog]]</f>
        <v>115</v>
      </c>
      <c r="B23">
        <f>analog_to_temp_c[[#This Row],[Temp_C]]</f>
        <v>37</v>
      </c>
      <c r="C23" s="4">
        <f t="shared" si="3"/>
        <v>4</v>
      </c>
      <c r="D23">
        <f t="shared" si="0"/>
        <v>36.875</v>
      </c>
      <c r="E23">
        <f t="shared" si="1"/>
        <v>37</v>
      </c>
      <c r="F23" s="4" t="b">
        <f t="shared" si="2"/>
        <v>1</v>
      </c>
    </row>
    <row r="24" spans="1:6" x14ac:dyDescent="0.3">
      <c r="A24">
        <f>analog_to_temp_c[[#This Row],[Analog]]</f>
        <v>112</v>
      </c>
      <c r="B24">
        <f>analog_to_temp_c[[#This Row],[Temp_C]]</f>
        <v>36</v>
      </c>
      <c r="C24" s="4">
        <f t="shared" si="3"/>
        <v>3</v>
      </c>
      <c r="D24">
        <f t="shared" si="0"/>
        <v>35.913043478260867</v>
      </c>
      <c r="E24">
        <f t="shared" si="1"/>
        <v>36</v>
      </c>
      <c r="F24" s="4" t="b">
        <f t="shared" si="2"/>
        <v>1</v>
      </c>
    </row>
    <row r="25" spans="1:6" x14ac:dyDescent="0.3">
      <c r="A25">
        <f>analog_to_temp_c[[#This Row],[Analog]]</f>
        <v>109</v>
      </c>
      <c r="B25">
        <f>analog_to_temp_c[[#This Row],[Temp_C]]</f>
        <v>35</v>
      </c>
      <c r="C25" s="4">
        <f t="shared" si="3"/>
        <v>3</v>
      </c>
      <c r="D25">
        <f t="shared" si="0"/>
        <v>34.951086956521735</v>
      </c>
      <c r="E25">
        <f t="shared" si="1"/>
        <v>35</v>
      </c>
      <c r="F25" s="4" t="b">
        <f t="shared" si="2"/>
        <v>1</v>
      </c>
    </row>
    <row r="26" spans="1:6" x14ac:dyDescent="0.3">
      <c r="A26">
        <f>analog_to_temp_c[[#This Row],[Analog]]</f>
        <v>106</v>
      </c>
      <c r="B26">
        <f>analog_to_temp_c[[#This Row],[Temp_C]]</f>
        <v>34</v>
      </c>
      <c r="C26" s="4">
        <f t="shared" si="3"/>
        <v>3</v>
      </c>
      <c r="D26">
        <f t="shared" si="0"/>
        <v>33.989130434782609</v>
      </c>
      <c r="E26">
        <f t="shared" si="1"/>
        <v>34</v>
      </c>
      <c r="F26" s="4" t="b">
        <f t="shared" si="2"/>
        <v>1</v>
      </c>
    </row>
    <row r="27" spans="1:6" x14ac:dyDescent="0.3">
      <c r="A27">
        <f>analog_to_temp_c[[#This Row],[Analog]]</f>
        <v>103</v>
      </c>
      <c r="B27">
        <f>analog_to_temp_c[[#This Row],[Temp_C]]</f>
        <v>33</v>
      </c>
      <c r="C27" s="4">
        <f t="shared" si="3"/>
        <v>3</v>
      </c>
      <c r="D27">
        <f t="shared" si="0"/>
        <v>33.027173913043477</v>
      </c>
      <c r="E27">
        <f t="shared" si="1"/>
        <v>33</v>
      </c>
      <c r="F27" s="4" t="b">
        <f t="shared" si="2"/>
        <v>1</v>
      </c>
    </row>
    <row r="28" spans="1:6" x14ac:dyDescent="0.3">
      <c r="A28">
        <f>analog_to_temp_c[[#This Row],[Analog]]</f>
        <v>100</v>
      </c>
      <c r="B28">
        <f>analog_to_temp_c[[#This Row],[Temp_C]]</f>
        <v>32</v>
      </c>
      <c r="C28" s="4">
        <f t="shared" si="3"/>
        <v>3</v>
      </c>
      <c r="D28">
        <f t="shared" si="0"/>
        <v>32.065217391304344</v>
      </c>
      <c r="E28">
        <f t="shared" si="1"/>
        <v>32</v>
      </c>
      <c r="F28" s="4" t="b">
        <f t="shared" si="2"/>
        <v>1</v>
      </c>
    </row>
    <row r="29" spans="1:6" x14ac:dyDescent="0.3">
      <c r="A29">
        <f>analog_to_temp_c[[#This Row],[Analog]]</f>
        <v>98</v>
      </c>
      <c r="B29">
        <f>analog_to_temp_c[[#This Row],[Temp_C]]</f>
        <v>31.5</v>
      </c>
      <c r="C29" s="4">
        <f t="shared" si="3"/>
        <v>4</v>
      </c>
      <c r="D29">
        <f t="shared" si="0"/>
        <v>31.423913043478258</v>
      </c>
      <c r="E29">
        <f t="shared" si="1"/>
        <v>31.5</v>
      </c>
      <c r="F29" s="4" t="b">
        <f t="shared" si="2"/>
        <v>1</v>
      </c>
    </row>
    <row r="30" spans="1:6" x14ac:dyDescent="0.3">
      <c r="A30">
        <f>analog_to_temp_c[[#This Row],[Analog]]</f>
        <v>97</v>
      </c>
      <c r="B30">
        <f>analog_to_temp_c[[#This Row],[Temp_C]]</f>
        <v>31</v>
      </c>
      <c r="C30" s="4">
        <f t="shared" si="3"/>
        <v>2</v>
      </c>
      <c r="D30">
        <f t="shared" si="0"/>
        <v>31.103260869565215</v>
      </c>
      <c r="E30">
        <f t="shared" si="1"/>
        <v>31</v>
      </c>
      <c r="F30" s="4" t="b">
        <f t="shared" si="2"/>
        <v>1</v>
      </c>
    </row>
    <row r="31" spans="1:6" x14ac:dyDescent="0.3">
      <c r="A31">
        <f>analog_to_temp_c[[#This Row],[Analog]]</f>
        <v>94</v>
      </c>
      <c r="B31">
        <f>analog_to_temp_c[[#This Row],[Temp_C]]</f>
        <v>30</v>
      </c>
      <c r="C31" s="4">
        <f t="shared" si="3"/>
        <v>3</v>
      </c>
      <c r="D31">
        <f t="shared" si="0"/>
        <v>30.141304347826086</v>
      </c>
      <c r="E31">
        <f t="shared" si="1"/>
        <v>30</v>
      </c>
      <c r="F31" s="4" t="b">
        <f t="shared" si="2"/>
        <v>1</v>
      </c>
    </row>
    <row r="32" spans="1:6" x14ac:dyDescent="0.3">
      <c r="A32">
        <f>analog_to_temp_c[[#This Row],[Analog]]</f>
        <v>91</v>
      </c>
      <c r="B32">
        <f>analog_to_temp_c[[#This Row],[Temp_C]]</f>
        <v>29</v>
      </c>
      <c r="C32" s="4">
        <f t="shared" si="3"/>
        <v>3</v>
      </c>
      <c r="D32">
        <f t="shared" si="0"/>
        <v>29.179347826086957</v>
      </c>
      <c r="E32">
        <f t="shared" si="1"/>
        <v>29</v>
      </c>
      <c r="F32" s="4" t="b">
        <f t="shared" si="2"/>
        <v>1</v>
      </c>
    </row>
    <row r="33" spans="1:6" x14ac:dyDescent="0.3">
      <c r="A33">
        <f>analog_to_temp_c[[#This Row],[Analog]]</f>
        <v>87</v>
      </c>
      <c r="B33">
        <f>analog_to_temp_c[[#This Row],[Temp_C]]</f>
        <v>28</v>
      </c>
      <c r="C33" s="4">
        <f t="shared" si="3"/>
        <v>4</v>
      </c>
      <c r="D33">
        <f t="shared" si="0"/>
        <v>27.896739130434781</v>
      </c>
      <c r="E33">
        <f t="shared" si="1"/>
        <v>28</v>
      </c>
      <c r="F33" s="4" t="b">
        <f t="shared" si="2"/>
        <v>1</v>
      </c>
    </row>
    <row r="34" spans="1:6" x14ac:dyDescent="0.3">
      <c r="A34">
        <f>analog_to_temp_c[[#This Row],[Analog]]</f>
        <v>84</v>
      </c>
      <c r="B34">
        <f>analog_to_temp_c[[#This Row],[Temp_C]]</f>
        <v>27</v>
      </c>
      <c r="C34" s="4">
        <f t="shared" si="3"/>
        <v>3</v>
      </c>
      <c r="D34">
        <f t="shared" ref="D34:D61" si="4">A34/$H$4</f>
        <v>26.934782608695652</v>
      </c>
      <c r="E34">
        <f t="shared" ref="E34:E61" si="5">FLOOR(D34,1)+ROUND($H$5*(D34-FLOOR(D34,1)),0)/$H$5</f>
        <v>27</v>
      </c>
      <c r="F34" s="4" t="b">
        <f t="shared" ref="F34:F61" si="6">$B34=E34</f>
        <v>1</v>
      </c>
    </row>
    <row r="35" spans="1:6" x14ac:dyDescent="0.3">
      <c r="A35">
        <f>analog_to_temp_c[[#This Row],[Analog]]</f>
        <v>81</v>
      </c>
      <c r="B35">
        <f>analog_to_temp_c[[#This Row],[Temp_C]]</f>
        <v>26</v>
      </c>
      <c r="C35" s="4">
        <f t="shared" ref="C35:C61" si="7">(A35-A34)/(B35-B34)</f>
        <v>3</v>
      </c>
      <c r="D35">
        <f t="shared" si="4"/>
        <v>25.97282608695652</v>
      </c>
      <c r="E35">
        <f t="shared" si="5"/>
        <v>26</v>
      </c>
      <c r="F35" s="4" t="b">
        <f t="shared" si="6"/>
        <v>1</v>
      </c>
    </row>
    <row r="36" spans="1:6" x14ac:dyDescent="0.3">
      <c r="A36">
        <f>analog_to_temp_c[[#This Row],[Analog]]</f>
        <v>78</v>
      </c>
      <c r="B36">
        <f>analog_to_temp_c[[#This Row],[Temp_C]]</f>
        <v>25</v>
      </c>
      <c r="C36" s="4">
        <f t="shared" si="7"/>
        <v>3</v>
      </c>
      <c r="D36">
        <f t="shared" si="4"/>
        <v>25.010869565217391</v>
      </c>
      <c r="E36">
        <f t="shared" si="5"/>
        <v>25</v>
      </c>
      <c r="F36" s="4" t="b">
        <f t="shared" si="6"/>
        <v>1</v>
      </c>
    </row>
    <row r="37" spans="1:6" x14ac:dyDescent="0.3">
      <c r="A37">
        <f>analog_to_temp_c[[#This Row],[Analog]]</f>
        <v>75</v>
      </c>
      <c r="B37">
        <f>analog_to_temp_c[[#This Row],[Temp_C]]</f>
        <v>24</v>
      </c>
      <c r="C37" s="4">
        <f t="shared" si="7"/>
        <v>3</v>
      </c>
      <c r="D37">
        <f t="shared" si="4"/>
        <v>24.048913043478262</v>
      </c>
      <c r="E37">
        <f t="shared" si="5"/>
        <v>24</v>
      </c>
      <c r="F37" s="4" t="b">
        <f t="shared" si="6"/>
        <v>1</v>
      </c>
    </row>
    <row r="38" spans="1:6" x14ac:dyDescent="0.3">
      <c r="A38">
        <f>analog_to_temp_c[[#This Row],[Analog]]</f>
        <v>72</v>
      </c>
      <c r="B38">
        <f>analog_to_temp_c[[#This Row],[Temp_C]]</f>
        <v>23</v>
      </c>
      <c r="C38" s="4">
        <f t="shared" si="7"/>
        <v>3</v>
      </c>
      <c r="D38">
        <f t="shared" si="4"/>
        <v>23.086956521739129</v>
      </c>
      <c r="E38">
        <f t="shared" si="5"/>
        <v>23</v>
      </c>
      <c r="F38" s="4" t="b">
        <f t="shared" si="6"/>
        <v>1</v>
      </c>
    </row>
    <row r="39" spans="1:6" x14ac:dyDescent="0.3">
      <c r="A39">
        <f>analog_to_temp_c[[#This Row],[Analog]]</f>
        <v>69</v>
      </c>
      <c r="B39">
        <f>analog_to_temp_c[[#This Row],[Temp_C]]</f>
        <v>22</v>
      </c>
      <c r="C39" s="4">
        <f t="shared" si="7"/>
        <v>3</v>
      </c>
      <c r="D39">
        <f t="shared" si="4"/>
        <v>22.125</v>
      </c>
      <c r="E39">
        <f t="shared" si="5"/>
        <v>22</v>
      </c>
      <c r="F39" s="4" t="b">
        <f t="shared" si="6"/>
        <v>1</v>
      </c>
    </row>
    <row r="40" spans="1:6" x14ac:dyDescent="0.3">
      <c r="A40">
        <f>analog_to_temp_c[[#This Row],[Analog]]</f>
        <v>66</v>
      </c>
      <c r="B40">
        <f>analog_to_temp_c[[#This Row],[Temp_C]]</f>
        <v>21</v>
      </c>
      <c r="C40" s="4">
        <f t="shared" si="7"/>
        <v>3</v>
      </c>
      <c r="D40">
        <f t="shared" si="4"/>
        <v>21.163043478260867</v>
      </c>
      <c r="E40">
        <f t="shared" si="5"/>
        <v>21</v>
      </c>
      <c r="F40" s="4" t="b">
        <f t="shared" si="6"/>
        <v>1</v>
      </c>
    </row>
    <row r="41" spans="1:6" x14ac:dyDescent="0.3">
      <c r="A41">
        <f>analog_to_temp_c[[#This Row],[Analog]]</f>
        <v>63</v>
      </c>
      <c r="B41">
        <f>analog_to_temp_c[[#This Row],[Temp_C]]</f>
        <v>20</v>
      </c>
      <c r="C41" s="4">
        <f t="shared" si="7"/>
        <v>3</v>
      </c>
      <c r="D41">
        <f t="shared" si="4"/>
        <v>20.201086956521738</v>
      </c>
      <c r="E41">
        <f t="shared" si="5"/>
        <v>20</v>
      </c>
      <c r="F41" s="4" t="b">
        <f t="shared" si="6"/>
        <v>1</v>
      </c>
    </row>
    <row r="42" spans="1:6" x14ac:dyDescent="0.3">
      <c r="A42">
        <f>analog_to_temp_c[[#This Row],[Analog]]</f>
        <v>59</v>
      </c>
      <c r="B42">
        <f>analog_to_temp_c[[#This Row],[Temp_C]]</f>
        <v>19</v>
      </c>
      <c r="C42" s="4">
        <f t="shared" si="7"/>
        <v>4</v>
      </c>
      <c r="D42">
        <f t="shared" si="4"/>
        <v>18.918478260869563</v>
      </c>
      <c r="E42">
        <f t="shared" si="5"/>
        <v>19</v>
      </c>
      <c r="F42" s="4" t="b">
        <f t="shared" si="6"/>
        <v>1</v>
      </c>
    </row>
    <row r="43" spans="1:6" x14ac:dyDescent="0.3">
      <c r="A43">
        <f>analog_to_temp_c[[#This Row],[Analog]]</f>
        <v>56</v>
      </c>
      <c r="B43">
        <f>analog_to_temp_c[[#This Row],[Temp_C]]</f>
        <v>18</v>
      </c>
      <c r="C43" s="4">
        <f t="shared" si="7"/>
        <v>3</v>
      </c>
      <c r="D43">
        <f t="shared" si="4"/>
        <v>17.956521739130434</v>
      </c>
      <c r="E43">
        <f t="shared" si="5"/>
        <v>18</v>
      </c>
      <c r="F43" s="4" t="b">
        <f t="shared" si="6"/>
        <v>1</v>
      </c>
    </row>
    <row r="44" spans="1:6" x14ac:dyDescent="0.3">
      <c r="A44">
        <f>analog_to_temp_c[[#This Row],[Analog]]</f>
        <v>53</v>
      </c>
      <c r="B44">
        <f>analog_to_temp_c[[#This Row],[Temp_C]]</f>
        <v>17</v>
      </c>
      <c r="C44" s="4">
        <f t="shared" si="7"/>
        <v>3</v>
      </c>
      <c r="D44">
        <f t="shared" si="4"/>
        <v>16.994565217391305</v>
      </c>
      <c r="E44">
        <f t="shared" si="5"/>
        <v>17</v>
      </c>
      <c r="F44" s="4" t="b">
        <f t="shared" si="6"/>
        <v>1</v>
      </c>
    </row>
    <row r="45" spans="1:6" x14ac:dyDescent="0.3">
      <c r="A45">
        <f>analog_to_temp_c[[#This Row],[Analog]]</f>
        <v>50</v>
      </c>
      <c r="B45">
        <f>analog_to_temp_c[[#This Row],[Temp_C]]</f>
        <v>16</v>
      </c>
      <c r="C45" s="4">
        <f t="shared" si="7"/>
        <v>3</v>
      </c>
      <c r="D45">
        <f t="shared" si="4"/>
        <v>16.032608695652172</v>
      </c>
      <c r="E45">
        <f t="shared" si="5"/>
        <v>16</v>
      </c>
      <c r="F45" s="4" t="b">
        <f t="shared" si="6"/>
        <v>1</v>
      </c>
    </row>
    <row r="46" spans="1:6" x14ac:dyDescent="0.3">
      <c r="A46">
        <f>analog_to_temp_c[[#This Row],[Analog]]</f>
        <v>47</v>
      </c>
      <c r="B46">
        <f>analog_to_temp_c[[#This Row],[Temp_C]]</f>
        <v>15</v>
      </c>
      <c r="C46" s="4">
        <f t="shared" si="7"/>
        <v>3</v>
      </c>
      <c r="D46">
        <f t="shared" si="4"/>
        <v>15.070652173913043</v>
      </c>
      <c r="E46">
        <f t="shared" si="5"/>
        <v>15</v>
      </c>
      <c r="F46" s="4" t="b">
        <f t="shared" si="6"/>
        <v>1</v>
      </c>
    </row>
    <row r="47" spans="1:6" x14ac:dyDescent="0.3">
      <c r="A47">
        <f>analog_to_temp_c[[#This Row],[Analog]]</f>
        <v>44</v>
      </c>
      <c r="B47">
        <f>analog_to_temp_c[[#This Row],[Temp_C]]</f>
        <v>14</v>
      </c>
      <c r="C47" s="4">
        <f t="shared" si="7"/>
        <v>3</v>
      </c>
      <c r="D47">
        <f t="shared" si="4"/>
        <v>14.108695652173912</v>
      </c>
      <c r="E47">
        <f t="shared" si="5"/>
        <v>14</v>
      </c>
      <c r="F47" s="4" t="b">
        <f t="shared" si="6"/>
        <v>1</v>
      </c>
    </row>
    <row r="48" spans="1:6" x14ac:dyDescent="0.3">
      <c r="A48">
        <f>analog_to_temp_c[[#This Row],[Analog]]</f>
        <v>41</v>
      </c>
      <c r="B48">
        <f>analog_to_temp_c[[#This Row],[Temp_C]]</f>
        <v>13</v>
      </c>
      <c r="C48" s="4">
        <f t="shared" si="7"/>
        <v>3</v>
      </c>
      <c r="D48">
        <f t="shared" si="4"/>
        <v>13.146739130434781</v>
      </c>
      <c r="E48">
        <f t="shared" si="5"/>
        <v>13</v>
      </c>
      <c r="F48" s="4" t="b">
        <f t="shared" si="6"/>
        <v>1</v>
      </c>
    </row>
    <row r="49" spans="1:6" x14ac:dyDescent="0.3">
      <c r="A49">
        <f>analog_to_temp_c[[#This Row],[Analog]]</f>
        <v>38</v>
      </c>
      <c r="B49">
        <f>analog_to_temp_c[[#This Row],[Temp_C]]</f>
        <v>12</v>
      </c>
      <c r="C49" s="4">
        <f t="shared" si="7"/>
        <v>3</v>
      </c>
      <c r="D49">
        <f t="shared" si="4"/>
        <v>12.184782608695652</v>
      </c>
      <c r="E49">
        <f t="shared" si="5"/>
        <v>12</v>
      </c>
      <c r="F49" s="4" t="b">
        <f t="shared" si="6"/>
        <v>1</v>
      </c>
    </row>
    <row r="50" spans="1:6" x14ac:dyDescent="0.3">
      <c r="A50">
        <f>analog_to_temp_c[[#This Row],[Analog]]</f>
        <v>35</v>
      </c>
      <c r="B50">
        <f>analog_to_temp_c[[#This Row],[Temp_C]]</f>
        <v>11</v>
      </c>
      <c r="C50" s="4">
        <f t="shared" si="7"/>
        <v>3</v>
      </c>
      <c r="D50">
        <f t="shared" si="4"/>
        <v>11.222826086956522</v>
      </c>
      <c r="E50">
        <f t="shared" si="5"/>
        <v>11</v>
      </c>
      <c r="F50" s="4" t="b">
        <f t="shared" si="6"/>
        <v>1</v>
      </c>
    </row>
    <row r="51" spans="1:6" x14ac:dyDescent="0.3">
      <c r="A51">
        <f>analog_to_temp_c[[#This Row],[Analog]]</f>
        <v>31</v>
      </c>
      <c r="B51">
        <f>analog_to_temp_c[[#This Row],[Temp_C]]</f>
        <v>10</v>
      </c>
      <c r="C51" s="4">
        <f t="shared" si="7"/>
        <v>4</v>
      </c>
      <c r="D51">
        <f t="shared" si="4"/>
        <v>9.9402173913043477</v>
      </c>
      <c r="E51">
        <f t="shared" si="5"/>
        <v>10</v>
      </c>
      <c r="F51" s="4" t="b">
        <f t="shared" si="6"/>
        <v>1</v>
      </c>
    </row>
    <row r="52" spans="1:6" x14ac:dyDescent="0.3">
      <c r="A52">
        <f>analog_to_temp_c[[#This Row],[Analog]]</f>
        <v>28</v>
      </c>
      <c r="B52">
        <f>analog_to_temp_c[[#This Row],[Temp_C]]</f>
        <v>9</v>
      </c>
      <c r="C52" s="4">
        <f t="shared" si="7"/>
        <v>3</v>
      </c>
      <c r="D52">
        <f t="shared" si="4"/>
        <v>8.9782608695652169</v>
      </c>
      <c r="E52">
        <f t="shared" si="5"/>
        <v>9</v>
      </c>
      <c r="F52" s="4" t="b">
        <f t="shared" si="6"/>
        <v>1</v>
      </c>
    </row>
    <row r="53" spans="1:6" x14ac:dyDescent="0.3">
      <c r="A53">
        <f>analog_to_temp_c[[#This Row],[Analog]]</f>
        <v>25</v>
      </c>
      <c r="B53">
        <f>analog_to_temp_c[[#This Row],[Temp_C]]</f>
        <v>8</v>
      </c>
      <c r="C53" s="4">
        <f t="shared" si="7"/>
        <v>3</v>
      </c>
      <c r="D53">
        <f t="shared" si="4"/>
        <v>8.016304347826086</v>
      </c>
      <c r="E53">
        <f t="shared" si="5"/>
        <v>8</v>
      </c>
      <c r="F53" s="4" t="b">
        <f t="shared" si="6"/>
        <v>1</v>
      </c>
    </row>
    <row r="54" spans="1:6" x14ac:dyDescent="0.3">
      <c r="A54">
        <f>analog_to_temp_c[[#This Row],[Analog]]</f>
        <v>22</v>
      </c>
      <c r="B54">
        <f>analog_to_temp_c[[#This Row],[Temp_C]]</f>
        <v>7</v>
      </c>
      <c r="C54" s="4">
        <f t="shared" si="7"/>
        <v>3</v>
      </c>
      <c r="D54">
        <f t="shared" si="4"/>
        <v>7.0543478260869561</v>
      </c>
      <c r="E54">
        <f t="shared" si="5"/>
        <v>7</v>
      </c>
      <c r="F54" s="4" t="b">
        <f t="shared" si="6"/>
        <v>1</v>
      </c>
    </row>
    <row r="55" spans="1:6" x14ac:dyDescent="0.3">
      <c r="A55">
        <f>analog_to_temp_c[[#This Row],[Analog]]</f>
        <v>19</v>
      </c>
      <c r="B55">
        <f>analog_to_temp_c[[#This Row],[Temp_C]]</f>
        <v>6</v>
      </c>
      <c r="C55" s="4">
        <f t="shared" si="7"/>
        <v>3</v>
      </c>
      <c r="D55">
        <f t="shared" si="4"/>
        <v>6.0923913043478262</v>
      </c>
      <c r="E55">
        <f t="shared" si="5"/>
        <v>6</v>
      </c>
      <c r="F55" s="4" t="b">
        <f t="shared" si="6"/>
        <v>1</v>
      </c>
    </row>
    <row r="56" spans="1:6" x14ac:dyDescent="0.3">
      <c r="A56">
        <f>analog_to_temp_c[[#This Row],[Analog]]</f>
        <v>16</v>
      </c>
      <c r="B56">
        <f>analog_to_temp_c[[#This Row],[Temp_C]]</f>
        <v>5</v>
      </c>
      <c r="C56" s="4">
        <f t="shared" si="7"/>
        <v>3</v>
      </c>
      <c r="D56">
        <f t="shared" si="4"/>
        <v>5.1304347826086953</v>
      </c>
      <c r="E56">
        <f t="shared" si="5"/>
        <v>5</v>
      </c>
      <c r="F56" s="4" t="b">
        <f t="shared" si="6"/>
        <v>1</v>
      </c>
    </row>
    <row r="57" spans="1:6" x14ac:dyDescent="0.3">
      <c r="A57">
        <f>analog_to_temp_c[[#This Row],[Analog]]</f>
        <v>13</v>
      </c>
      <c r="B57">
        <f>analog_to_temp_c[[#This Row],[Temp_C]]</f>
        <v>4</v>
      </c>
      <c r="C57" s="4">
        <f t="shared" si="7"/>
        <v>3</v>
      </c>
      <c r="D57">
        <f t="shared" si="4"/>
        <v>4.1684782608695654</v>
      </c>
      <c r="E57">
        <f t="shared" si="5"/>
        <v>4</v>
      </c>
      <c r="F57" s="4" t="b">
        <f t="shared" si="6"/>
        <v>1</v>
      </c>
    </row>
    <row r="58" spans="1:6" x14ac:dyDescent="0.3">
      <c r="A58">
        <f>analog_to_temp_c[[#This Row],[Analog]]</f>
        <v>10</v>
      </c>
      <c r="B58">
        <f>analog_to_temp_c[[#This Row],[Temp_C]]</f>
        <v>3</v>
      </c>
      <c r="C58" s="4">
        <f t="shared" si="7"/>
        <v>3</v>
      </c>
      <c r="D58">
        <f t="shared" si="4"/>
        <v>3.2065217391304346</v>
      </c>
      <c r="E58">
        <f t="shared" si="5"/>
        <v>3</v>
      </c>
      <c r="F58" s="4" t="b">
        <f t="shared" si="6"/>
        <v>1</v>
      </c>
    </row>
    <row r="59" spans="1:6" x14ac:dyDescent="0.3">
      <c r="A59">
        <f>analog_to_temp_c[[#This Row],[Analog]]</f>
        <v>7</v>
      </c>
      <c r="B59">
        <f>analog_to_temp_c[[#This Row],[Temp_C]]</f>
        <v>2</v>
      </c>
      <c r="C59" s="4">
        <f t="shared" si="7"/>
        <v>3</v>
      </c>
      <c r="D59">
        <f t="shared" si="4"/>
        <v>2.2445652173913042</v>
      </c>
      <c r="E59">
        <f t="shared" si="5"/>
        <v>2</v>
      </c>
      <c r="F59" s="4" t="b">
        <f t="shared" si="6"/>
        <v>1</v>
      </c>
    </row>
    <row r="60" spans="1:6" x14ac:dyDescent="0.3">
      <c r="A60">
        <f>analog_to_temp_c[[#This Row],[Analog]]</f>
        <v>3</v>
      </c>
      <c r="B60">
        <f>analog_to_temp_c[[#This Row],[Temp_C]]</f>
        <v>1</v>
      </c>
      <c r="C60" s="4">
        <f t="shared" si="7"/>
        <v>4</v>
      </c>
      <c r="D60">
        <f t="shared" si="4"/>
        <v>0.96195652173913038</v>
      </c>
      <c r="E60">
        <f t="shared" si="5"/>
        <v>1</v>
      </c>
      <c r="F60" s="4" t="b">
        <f t="shared" si="6"/>
        <v>1</v>
      </c>
    </row>
    <row r="61" spans="1:6" x14ac:dyDescent="0.3">
      <c r="A61">
        <f>analog_to_temp_c[[#This Row],[Analog]]</f>
        <v>0</v>
      </c>
      <c r="B61">
        <f>analog_to_temp_c[[#This Row],[Temp_C]]</f>
        <v>0</v>
      </c>
      <c r="C61" s="4">
        <f t="shared" si="7"/>
        <v>3</v>
      </c>
      <c r="D61">
        <f t="shared" si="4"/>
        <v>0</v>
      </c>
      <c r="E61">
        <f t="shared" si="5"/>
        <v>0</v>
      </c>
      <c r="F61" s="4" t="b">
        <f t="shared" si="6"/>
        <v>1</v>
      </c>
    </row>
  </sheetData>
  <mergeCells count="2">
    <mergeCell ref="G1:H1"/>
    <mergeCell ref="I1:P1"/>
  </mergeCells>
  <conditionalFormatting sqref="F1:F1048576">
    <cfRule type="expression" dxfId="0" priority="3">
      <formula>AND(F1&lt;&gt;"",F1=FALSE)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06C0-BE64-4C40-B78F-90417F3CF81A}">
  <dimension ref="A1:B61"/>
  <sheetViews>
    <sheetView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9.886718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>
        <v>181</v>
      </c>
      <c r="B2">
        <v>58</v>
      </c>
    </row>
    <row r="3" spans="1:2" x14ac:dyDescent="0.3">
      <c r="A3">
        <v>178</v>
      </c>
      <c r="B3">
        <v>57</v>
      </c>
    </row>
    <row r="4" spans="1:2" x14ac:dyDescent="0.3">
      <c r="A4">
        <v>175</v>
      </c>
      <c r="B4">
        <v>56</v>
      </c>
    </row>
    <row r="5" spans="1:2" x14ac:dyDescent="0.3">
      <c r="A5">
        <v>171</v>
      </c>
      <c r="B5">
        <v>55</v>
      </c>
    </row>
    <row r="6" spans="1:2" x14ac:dyDescent="0.3">
      <c r="A6">
        <v>168</v>
      </c>
      <c r="B6">
        <v>54</v>
      </c>
    </row>
    <row r="7" spans="1:2" x14ac:dyDescent="0.3">
      <c r="A7">
        <v>165</v>
      </c>
      <c r="B7">
        <v>53</v>
      </c>
    </row>
    <row r="8" spans="1:2" x14ac:dyDescent="0.3">
      <c r="A8">
        <v>162</v>
      </c>
      <c r="B8">
        <v>52</v>
      </c>
    </row>
    <row r="9" spans="1:2" x14ac:dyDescent="0.3">
      <c r="A9">
        <v>159</v>
      </c>
      <c r="B9">
        <v>51</v>
      </c>
    </row>
    <row r="10" spans="1:2" x14ac:dyDescent="0.3">
      <c r="A10">
        <v>156</v>
      </c>
      <c r="B10">
        <v>50</v>
      </c>
    </row>
    <row r="11" spans="1:2" x14ac:dyDescent="0.3">
      <c r="A11">
        <v>153</v>
      </c>
      <c r="B11">
        <v>49</v>
      </c>
    </row>
    <row r="12" spans="1:2" x14ac:dyDescent="0.3">
      <c r="A12">
        <v>150</v>
      </c>
      <c r="B12">
        <v>48</v>
      </c>
    </row>
    <row r="13" spans="1:2" x14ac:dyDescent="0.3">
      <c r="A13">
        <v>147</v>
      </c>
      <c r="B13">
        <v>47</v>
      </c>
    </row>
    <row r="14" spans="1:2" x14ac:dyDescent="0.3">
      <c r="A14">
        <v>143</v>
      </c>
      <c r="B14">
        <v>46</v>
      </c>
    </row>
    <row r="15" spans="1:2" x14ac:dyDescent="0.3">
      <c r="A15">
        <v>140</v>
      </c>
      <c r="B15">
        <v>45</v>
      </c>
    </row>
    <row r="16" spans="1:2" x14ac:dyDescent="0.3">
      <c r="A16">
        <v>137</v>
      </c>
      <c r="B16">
        <v>44</v>
      </c>
    </row>
    <row r="17" spans="1:2" x14ac:dyDescent="0.3">
      <c r="A17">
        <v>134</v>
      </c>
      <c r="B17">
        <v>43</v>
      </c>
    </row>
    <row r="18" spans="1:2" x14ac:dyDescent="0.3">
      <c r="A18">
        <v>131</v>
      </c>
      <c r="B18">
        <v>42</v>
      </c>
    </row>
    <row r="19" spans="1:2" x14ac:dyDescent="0.3">
      <c r="A19">
        <v>128</v>
      </c>
      <c r="B19">
        <v>41</v>
      </c>
    </row>
    <row r="20" spans="1:2" x14ac:dyDescent="0.3">
      <c r="A20">
        <v>125</v>
      </c>
      <c r="B20">
        <v>40</v>
      </c>
    </row>
    <row r="21" spans="1:2" x14ac:dyDescent="0.3">
      <c r="A21">
        <v>122</v>
      </c>
      <c r="B21">
        <v>39</v>
      </c>
    </row>
    <row r="22" spans="1:2" x14ac:dyDescent="0.3">
      <c r="A22">
        <v>119</v>
      </c>
      <c r="B22">
        <v>38</v>
      </c>
    </row>
    <row r="23" spans="1:2" x14ac:dyDescent="0.3">
      <c r="A23">
        <v>115</v>
      </c>
      <c r="B23">
        <v>37</v>
      </c>
    </row>
    <row r="24" spans="1:2" x14ac:dyDescent="0.3">
      <c r="A24">
        <v>112</v>
      </c>
      <c r="B24">
        <v>36</v>
      </c>
    </row>
    <row r="25" spans="1:2" x14ac:dyDescent="0.3">
      <c r="A25">
        <v>109</v>
      </c>
      <c r="B25">
        <v>35</v>
      </c>
    </row>
    <row r="26" spans="1:2" x14ac:dyDescent="0.3">
      <c r="A26">
        <v>106</v>
      </c>
      <c r="B26">
        <v>34</v>
      </c>
    </row>
    <row r="27" spans="1:2" x14ac:dyDescent="0.3">
      <c r="A27">
        <v>103</v>
      </c>
      <c r="B27">
        <v>33</v>
      </c>
    </row>
    <row r="28" spans="1:2" x14ac:dyDescent="0.3">
      <c r="A28">
        <v>100</v>
      </c>
      <c r="B28">
        <v>32</v>
      </c>
    </row>
    <row r="29" spans="1:2" x14ac:dyDescent="0.3">
      <c r="A29">
        <v>98</v>
      </c>
      <c r="B29">
        <v>31.5</v>
      </c>
    </row>
    <row r="30" spans="1:2" x14ac:dyDescent="0.3">
      <c r="A30">
        <v>97</v>
      </c>
      <c r="B30">
        <v>31</v>
      </c>
    </row>
    <row r="31" spans="1:2" x14ac:dyDescent="0.3">
      <c r="A31">
        <v>94</v>
      </c>
      <c r="B31">
        <v>30</v>
      </c>
    </row>
    <row r="32" spans="1:2" x14ac:dyDescent="0.3">
      <c r="A32">
        <v>91</v>
      </c>
      <c r="B32">
        <v>29</v>
      </c>
    </row>
    <row r="33" spans="1:2" x14ac:dyDescent="0.3">
      <c r="A33">
        <v>87</v>
      </c>
      <c r="B33">
        <v>28</v>
      </c>
    </row>
    <row r="34" spans="1:2" x14ac:dyDescent="0.3">
      <c r="A34">
        <v>84</v>
      </c>
      <c r="B34">
        <v>27</v>
      </c>
    </row>
    <row r="35" spans="1:2" x14ac:dyDescent="0.3">
      <c r="A35">
        <v>81</v>
      </c>
      <c r="B35">
        <v>26</v>
      </c>
    </row>
    <row r="36" spans="1:2" x14ac:dyDescent="0.3">
      <c r="A36">
        <v>78</v>
      </c>
      <c r="B36">
        <v>25</v>
      </c>
    </row>
    <row r="37" spans="1:2" x14ac:dyDescent="0.3">
      <c r="A37">
        <v>75</v>
      </c>
      <c r="B37">
        <v>24</v>
      </c>
    </row>
    <row r="38" spans="1:2" x14ac:dyDescent="0.3">
      <c r="A38">
        <v>72</v>
      </c>
      <c r="B38">
        <v>23</v>
      </c>
    </row>
    <row r="39" spans="1:2" x14ac:dyDescent="0.3">
      <c r="A39">
        <v>69</v>
      </c>
      <c r="B39">
        <v>22</v>
      </c>
    </row>
    <row r="40" spans="1:2" x14ac:dyDescent="0.3">
      <c r="A40">
        <v>66</v>
      </c>
      <c r="B40">
        <v>21</v>
      </c>
    </row>
    <row r="41" spans="1:2" x14ac:dyDescent="0.3">
      <c r="A41">
        <v>63</v>
      </c>
      <c r="B41">
        <v>20</v>
      </c>
    </row>
    <row r="42" spans="1:2" x14ac:dyDescent="0.3">
      <c r="A42">
        <v>59</v>
      </c>
      <c r="B42">
        <v>19</v>
      </c>
    </row>
    <row r="43" spans="1:2" x14ac:dyDescent="0.3">
      <c r="A43">
        <v>56</v>
      </c>
      <c r="B43">
        <v>18</v>
      </c>
    </row>
    <row r="44" spans="1:2" x14ac:dyDescent="0.3">
      <c r="A44">
        <v>53</v>
      </c>
      <c r="B44">
        <v>17</v>
      </c>
    </row>
    <row r="45" spans="1:2" x14ac:dyDescent="0.3">
      <c r="A45">
        <v>50</v>
      </c>
      <c r="B45">
        <v>16</v>
      </c>
    </row>
    <row r="46" spans="1:2" x14ac:dyDescent="0.3">
      <c r="A46">
        <v>47</v>
      </c>
      <c r="B46">
        <v>15</v>
      </c>
    </row>
    <row r="47" spans="1:2" x14ac:dyDescent="0.3">
      <c r="A47">
        <v>44</v>
      </c>
      <c r="B47">
        <v>14</v>
      </c>
    </row>
    <row r="48" spans="1:2" x14ac:dyDescent="0.3">
      <c r="A48">
        <v>41</v>
      </c>
      <c r="B48">
        <v>13</v>
      </c>
    </row>
    <row r="49" spans="1:2" x14ac:dyDescent="0.3">
      <c r="A49">
        <v>38</v>
      </c>
      <c r="B49">
        <v>12</v>
      </c>
    </row>
    <row r="50" spans="1:2" x14ac:dyDescent="0.3">
      <c r="A50">
        <v>35</v>
      </c>
      <c r="B50">
        <v>11</v>
      </c>
    </row>
    <row r="51" spans="1:2" x14ac:dyDescent="0.3">
      <c r="A51">
        <v>31</v>
      </c>
      <c r="B51">
        <v>10</v>
      </c>
    </row>
    <row r="52" spans="1:2" x14ac:dyDescent="0.3">
      <c r="A52">
        <v>28</v>
      </c>
      <c r="B52">
        <v>9</v>
      </c>
    </row>
    <row r="53" spans="1:2" x14ac:dyDescent="0.3">
      <c r="A53">
        <v>25</v>
      </c>
      <c r="B53">
        <v>8</v>
      </c>
    </row>
    <row r="54" spans="1:2" x14ac:dyDescent="0.3">
      <c r="A54">
        <v>22</v>
      </c>
      <c r="B54">
        <v>7</v>
      </c>
    </row>
    <row r="55" spans="1:2" x14ac:dyDescent="0.3">
      <c r="A55">
        <v>19</v>
      </c>
      <c r="B55">
        <v>6</v>
      </c>
    </row>
    <row r="56" spans="1:2" x14ac:dyDescent="0.3">
      <c r="A56">
        <v>16</v>
      </c>
      <c r="B56">
        <v>5</v>
      </c>
    </row>
    <row r="57" spans="1:2" x14ac:dyDescent="0.3">
      <c r="A57">
        <v>13</v>
      </c>
      <c r="B57">
        <v>4</v>
      </c>
    </row>
    <row r="58" spans="1:2" x14ac:dyDescent="0.3">
      <c r="A58">
        <v>10</v>
      </c>
      <c r="B58">
        <v>3</v>
      </c>
    </row>
    <row r="59" spans="1:2" x14ac:dyDescent="0.3">
      <c r="A59">
        <v>7</v>
      </c>
      <c r="B59">
        <v>2</v>
      </c>
    </row>
    <row r="60" spans="1:2" x14ac:dyDescent="0.3">
      <c r="A60">
        <v>3</v>
      </c>
      <c r="B60">
        <v>1</v>
      </c>
    </row>
    <row r="61" spans="1:2" x14ac:dyDescent="0.3">
      <c r="A61">
        <v>0</v>
      </c>
      <c r="B6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2B0EB-048A-4388-910B-CB31A7F6A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to Temp (C)</vt:lpstr>
      <vt:lpstr>analog_to_temp_c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Tristian Apostol</dc:creator>
  <cp:lastModifiedBy>Gian Tristian Apostol</cp:lastModifiedBy>
  <dcterms:created xsi:type="dcterms:W3CDTF">2026-01-28T14:57:57Z</dcterms:created>
  <dcterms:modified xsi:type="dcterms:W3CDTF">2026-01-30T05:16:26Z</dcterms:modified>
</cp:coreProperties>
</file>